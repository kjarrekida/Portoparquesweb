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CLIENTES" sheetId="2" r:id="rId6"/>
  </sheets>
  <definedNames>
    <definedName hidden="1" localSheetId="0" name="_xlnm._FilterDatabase">'Respuestas de formulario 1'!$A$1:$O$526</definedName>
    <definedName hidden="1" localSheetId="1" name="_xlnm._FilterDatabase">CLIENTES!$A$1:$D$419</definedName>
  </definedNames>
  <calcPr/>
</workbook>
</file>

<file path=xl/sharedStrings.xml><?xml version="1.0" encoding="utf-8"?>
<sst xmlns="http://schemas.openxmlformats.org/spreadsheetml/2006/main" count="5367" uniqueCount="3711">
  <si>
    <t>RUC</t>
  </si>
  <si>
    <t>RAZON SOCIAL</t>
  </si>
  <si>
    <t>NOMBRE COMERCIAL</t>
  </si>
  <si>
    <t>TELEFONO</t>
  </si>
  <si>
    <t>Marca temporal</t>
  </si>
  <si>
    <t xml:space="preserve">RUC (Compañía o Persona Natural) </t>
  </si>
  <si>
    <t xml:space="preserve">Razón Social  </t>
  </si>
  <si>
    <t xml:space="preserve">Nombre Comercial  </t>
  </si>
  <si>
    <t xml:space="preserve">Dirección de Recolección  </t>
  </si>
  <si>
    <t xml:space="preserve">Parroquia  </t>
  </si>
  <si>
    <t xml:space="preserve">Teléfono  </t>
  </si>
  <si>
    <t xml:space="preserve">Email  </t>
  </si>
  <si>
    <t xml:space="preserve">Frecuencia de Recolección  </t>
  </si>
  <si>
    <t xml:space="preserve">Representante Legal  </t>
  </si>
  <si>
    <t xml:space="preserve">Cédula Representante Legal  </t>
  </si>
  <si>
    <t xml:space="preserve">Reg. Generador de Desechos (En caso de contar)  </t>
  </si>
  <si>
    <t xml:space="preserve">Licencia o Certificado Ambiental (En caso de contar)  </t>
  </si>
  <si>
    <t xml:space="preserve">Archivo de Registro de Generador de Desechos o Licencia Ambiental  </t>
  </si>
  <si>
    <t xml:space="preserve">  Autorización de uso de datos  </t>
  </si>
  <si>
    <t>1310065774001</t>
  </si>
  <si>
    <t>María Natacha Flor Hidrovo</t>
  </si>
  <si>
    <t>Clínica Dental Flor</t>
  </si>
  <si>
    <t>Avenida reales tamarindos y Vicente Vélez Nuova piazza planta alta</t>
  </si>
  <si>
    <t>Portoviejo</t>
  </si>
  <si>
    <t>0981508322</t>
  </si>
  <si>
    <t>natachaflorhidrovo@gmail.com</t>
  </si>
  <si>
    <t>Semanal</t>
  </si>
  <si>
    <t>Natacha Flor</t>
  </si>
  <si>
    <t>1310066774</t>
  </si>
  <si>
    <t>Al enviar el formulario, autorizo a PORTOPARQUES EP para que, a través de sus funcionarios del Área técnica de los desechos infecciosos y mediante el Portal de Inscripción de Generadores de Desechos Infecciosos (peligrosos), utilicen mi información de manera directa con el fin de gestionar la prestación del servicio de recolección de desechos infecciosos (peligrosos).</t>
  </si>
  <si>
    <t>1313500751001</t>
  </si>
  <si>
    <t xml:space="preserve">Gema Deydamia Macías Mera </t>
  </si>
  <si>
    <t>OdontoStetic</t>
  </si>
  <si>
    <t xml:space="preserve">Calle chile entre quito y ramos iduarte </t>
  </si>
  <si>
    <t>18 de Octubre</t>
  </si>
  <si>
    <t>0983814781</t>
  </si>
  <si>
    <t>gema-macias@hotmail.com</t>
  </si>
  <si>
    <t>Mensual</t>
  </si>
  <si>
    <t>Gema Deydamia Macías Mera</t>
  </si>
  <si>
    <t>1313500751</t>
  </si>
  <si>
    <t>2300306731001</t>
  </si>
  <si>
    <t>SOLORZANO LEON WILLIAM ISRAEL</t>
  </si>
  <si>
    <t xml:space="preserve">Sais Dent </t>
  </si>
  <si>
    <t xml:space="preserve">Av. Ricaurte, entre 10 de agosto y Pedro Gual </t>
  </si>
  <si>
    <t>12 de Marzo</t>
  </si>
  <si>
    <t>0959824566</t>
  </si>
  <si>
    <t>israelsolorzano77@gmail.com</t>
  </si>
  <si>
    <t xml:space="preserve">William Israel Solorzano Leon </t>
  </si>
  <si>
    <t>2300306731</t>
  </si>
  <si>
    <t>1391907842001</t>
  </si>
  <si>
    <t>SOCIEDAD CIVL MERCANTIL DE HECHO GECINSU</t>
  </si>
  <si>
    <t>CAMPOSANTO ETERNO PARAISO</t>
  </si>
  <si>
    <t>La Balsa, Parroquia Abdon Calderon</t>
  </si>
  <si>
    <t>Abdón Calderón</t>
  </si>
  <si>
    <t>0963955895</t>
  </si>
  <si>
    <t>camposanto.eternoparaiso@gmail.com</t>
  </si>
  <si>
    <t>FRANKLIN EDUARDO SANCHEZ OROZCO</t>
  </si>
  <si>
    <t>1307548667</t>
  </si>
  <si>
    <t>1306307297001</t>
  </si>
  <si>
    <t>PACHECO MOREIRA LAURA ILEANA</t>
  </si>
  <si>
    <t>CONSULTORIO ODONTOLOGICO LAURA PACHECO</t>
  </si>
  <si>
    <t>CALLE SANTA ANA Y ALBERTO LARA, A CIEN METROS DEL PARQUES DEL NIÑO</t>
  </si>
  <si>
    <t>Andres de Vera</t>
  </si>
  <si>
    <t>0994690462</t>
  </si>
  <si>
    <t>dra.laurapacheco@hotmail.com</t>
  </si>
  <si>
    <t>1306307297</t>
  </si>
  <si>
    <t>1311331779001</t>
  </si>
  <si>
    <t>ZAMBRANO MERA ALEX SIGIFREDO</t>
  </si>
  <si>
    <t>SERVIDENTAL</t>
  </si>
  <si>
    <t>MEDARDO CEVALLOS S/N; BARRIO POMPILIO GALARZA</t>
  </si>
  <si>
    <t>0982750165</t>
  </si>
  <si>
    <t>dralex831@hotmail.com</t>
  </si>
  <si>
    <t>Quincenal,</t>
  </si>
  <si>
    <t>1311331779</t>
  </si>
  <si>
    <t>1313129536001</t>
  </si>
  <si>
    <t>GILER SANTISTEVAN IVONNE GUADALUPE</t>
  </si>
  <si>
    <t>ORADENTAL</t>
  </si>
  <si>
    <t>EDUCADORES Y AMIGOS S/N Y MERCY AVILA</t>
  </si>
  <si>
    <t>0985546666</t>
  </si>
  <si>
    <t>ivonnegiler@hotmail.com</t>
  </si>
  <si>
    <t>1313129536</t>
  </si>
  <si>
    <t>1310635709001</t>
  </si>
  <si>
    <t xml:space="preserve">Fabio guillermo Cevallos castro </t>
  </si>
  <si>
    <t xml:space="preserve">ORTHOLOGY </t>
  </si>
  <si>
    <t xml:space="preserve">Paso lateral manabi Guillén / Plaza Alaya local 7y8 diagonal al restaurante la olla </t>
  </si>
  <si>
    <t>0988541855</t>
  </si>
  <si>
    <t>fa-ce0690@hotmail.com</t>
  </si>
  <si>
    <t xml:space="preserve">Fabio Guille Cevallos castro </t>
  </si>
  <si>
    <t>1310635709</t>
  </si>
  <si>
    <t>1313235499001</t>
  </si>
  <si>
    <t>GILER RODRIGUEZ GEOVANNY ANDRES</t>
  </si>
  <si>
    <t>CONSULTORIO ODONTOLOGICO IA. DENTAL</t>
  </si>
  <si>
    <t xml:space="preserve">Av.Reales Tamarindos y calle Atanacios santos// Diagonal al tuti </t>
  </si>
  <si>
    <t>0939106015</t>
  </si>
  <si>
    <t>gilergeovanny57@gmail.com</t>
  </si>
  <si>
    <t xml:space="preserve">Geovanny Giler Rodríguez </t>
  </si>
  <si>
    <t>1313235499</t>
  </si>
  <si>
    <t>1312632076001</t>
  </si>
  <si>
    <t>MOLINA CEDEÑO MARIA JOSE</t>
  </si>
  <si>
    <t>INFINIA</t>
  </si>
  <si>
    <t xml:space="preserve"> LA DOLOROSA Y 26 DE SEPTIEMBRE</t>
  </si>
  <si>
    <t>0982279107</t>
  </si>
  <si>
    <t>maryjosemcg.1987@gmail.com</t>
  </si>
  <si>
    <t>1312632076</t>
  </si>
  <si>
    <t>1391818432001</t>
  </si>
  <si>
    <t>LABORATORIOS SANTA RITA LABSANTARITA S.A.</t>
  </si>
  <si>
    <t>Avenida Rocafuerte y Gonzalo Suarez a los lados de la farmacia kausman</t>
  </si>
  <si>
    <t>0939047227</t>
  </si>
  <si>
    <t>santaritalaboratorio2.0@gmail.com</t>
  </si>
  <si>
    <t>CEDEÑO BORJA RITA OLEGARIA</t>
  </si>
  <si>
    <t xml:space="preserve"> 1302611148</t>
  </si>
  <si>
    <t>1311783300001</t>
  </si>
  <si>
    <t>SUAREZ ORELLANA CINTHYA MELISSA</t>
  </si>
  <si>
    <t>CENTRO MEDICO DRA CINTHYA SUAREZ</t>
  </si>
  <si>
    <t>PICOAZA, REFERENCIA FRENTE LA PAPELERIA JARETH</t>
  </si>
  <si>
    <t>Picoaza</t>
  </si>
  <si>
    <t>0994350691</t>
  </si>
  <si>
    <t>cinthyso91@hotmail.com</t>
  </si>
  <si>
    <t>1311783300</t>
  </si>
  <si>
    <t>1308243755001</t>
  </si>
  <si>
    <t>MORALES BAZURTO MARIUXI MONSERRATE</t>
  </si>
  <si>
    <t>VARILHMEDICAL</t>
  </si>
  <si>
    <t>26 DE SEPTIEMBRE S/N Y ATENOGENES GALARZA, REFERENCIA PEZ PLATA</t>
  </si>
  <si>
    <t>0998900018</t>
  </si>
  <si>
    <t>mariuxi1811@gmail.com</t>
  </si>
  <si>
    <t>1308243755</t>
  </si>
  <si>
    <t>1705871257001</t>
  </si>
  <si>
    <t>CUEVA MUÑOZ ELIZABETH MARGOTH</t>
  </si>
  <si>
    <t>CENTRO OFTALMOLOGICO CUEVA VISION</t>
  </si>
  <si>
    <t>AV. AMERICA 540 ENTRE AV. URBINA Y OLMEDO</t>
  </si>
  <si>
    <t>0998264417</t>
  </si>
  <si>
    <t>elizabeth@cuevavision.com</t>
  </si>
  <si>
    <t>1705871257</t>
  </si>
  <si>
    <t>1316272028001</t>
  </si>
  <si>
    <t>GUILLEN SANTANA ERICK SEBASTIAN</t>
  </si>
  <si>
    <t>DENTAL GUI</t>
  </si>
  <si>
    <t>VIA SANTANA SECTOR EL GUABITO PUENTE</t>
  </si>
  <si>
    <t>Simón Bolívar</t>
  </si>
  <si>
    <t>0959170423</t>
  </si>
  <si>
    <t>erickguillen209@gmail.com</t>
  </si>
  <si>
    <t>1316272028</t>
  </si>
  <si>
    <t>1310816853001</t>
  </si>
  <si>
    <t>SOLORZANO RUIZ JAHAIRA MARIA</t>
  </si>
  <si>
    <t xml:space="preserve">Centro Veterinario Medical Pet's </t>
  </si>
  <si>
    <t>AV. AMERICA S/N Y AV. UNIVERSITARIA</t>
  </si>
  <si>
    <t>0990800448</t>
  </si>
  <si>
    <t>danasolorzanoruiz@hotmail.com</t>
  </si>
  <si>
    <t>0704905744001</t>
  </si>
  <si>
    <t>CABRERA MENDOZA JENNYFFER MARYAN</t>
  </si>
  <si>
    <t>NOVODENT</t>
  </si>
  <si>
    <t>AVENIDA REALES TAMARINDOS  Y CALLE NUEVA</t>
  </si>
  <si>
    <t>0996527648</t>
  </si>
  <si>
    <t>jennymcm1289@hotmail.com</t>
  </si>
  <si>
    <t>0704905744</t>
  </si>
  <si>
    <t>1768187190001</t>
  </si>
  <si>
    <t>SERVICIO NACIONAL DE MEDICINA LEGAL Y CIENCIAS FORENSES</t>
  </si>
  <si>
    <t>SERVICIO NACIONAL DE MEDICINA LEGAL Y CIENCIAS FORENSES PORTOVIEJO</t>
  </si>
  <si>
    <t>Metropolitana Eloy Alfaro Calle 1</t>
  </si>
  <si>
    <t>0996299869</t>
  </si>
  <si>
    <t>viviana.molina@cienciasforenses.gob.ec</t>
  </si>
  <si>
    <t>ZARATE BARREIROS MILTON GUSTAVO</t>
  </si>
  <si>
    <t>1707089197</t>
  </si>
  <si>
    <t>1303136681001</t>
  </si>
  <si>
    <t>ALVARADO MENDOZA JEINER VICENTE</t>
  </si>
  <si>
    <t xml:space="preserve">CENTRO DE ESPACIALIDADES ALCED  </t>
  </si>
  <si>
    <t xml:space="preserve">Richard Macay y Via Crucita </t>
  </si>
  <si>
    <t>0986429284</t>
  </si>
  <si>
    <t>belky_ac@hotmail.com</t>
  </si>
  <si>
    <t>1303136681</t>
  </si>
  <si>
    <t>1308306503001</t>
  </si>
  <si>
    <t xml:space="preserve">Horacio mendoza santos </t>
  </si>
  <si>
    <t xml:space="preserve">CIR centro integral reconstructivo </t>
  </si>
  <si>
    <t>Av del periodista s/n muralla de piedra</t>
  </si>
  <si>
    <t>0984050604</t>
  </si>
  <si>
    <t xml:space="preserve">Drmendozasantos@gmail.com </t>
  </si>
  <si>
    <t>1308306503</t>
  </si>
  <si>
    <t>1350776116001</t>
  </si>
  <si>
    <t>ZAMBRANO PARRAGA ANABELLA INES</t>
  </si>
  <si>
    <t>CONSULTORIO MEDICO MEDANLU</t>
  </si>
  <si>
    <t xml:space="preserve">los bosques av. Periodista callejón frente al monumento  </t>
  </si>
  <si>
    <t>0982337575</t>
  </si>
  <si>
    <t>medanlu1421@gmail.com</t>
  </si>
  <si>
    <t>1350776116</t>
  </si>
  <si>
    <t>0704429125001</t>
  </si>
  <si>
    <t>CANDO MALDONADO JOSSELYN MICHELLE</t>
  </si>
  <si>
    <t xml:space="preserve">PORSAN DENTAL arte en tu sonrisa </t>
  </si>
  <si>
    <t xml:space="preserve"> VICENTE MACIAS 15 DE ABRIL y HERMANO MIGUEL</t>
  </si>
  <si>
    <t>0998335174</t>
  </si>
  <si>
    <t>dantecajas6@gmail.com</t>
  </si>
  <si>
    <t>0704429125</t>
  </si>
  <si>
    <t>1308148749001</t>
  </si>
  <si>
    <t>BARDELLINI MERA ALEX ALBERTO</t>
  </si>
  <si>
    <t>LABORATORIO CLINICO BIO-LAB</t>
  </si>
  <si>
    <t>Av Eloy Alfaro y calle Naraljal - centro medico pasteur</t>
  </si>
  <si>
    <t>Alajuela</t>
  </si>
  <si>
    <t>0987219013</t>
  </si>
  <si>
    <t>biolabportoviejo@hotmail.com</t>
  </si>
  <si>
    <t>1308148749</t>
  </si>
  <si>
    <t>1309121380001</t>
  </si>
  <si>
    <t>GARCIA CEDEÑO MAYRA YANINA</t>
  </si>
  <si>
    <t>DENTAL CENTER</t>
  </si>
  <si>
    <t>RICAURTE Y 9 DE OCTUBRE</t>
  </si>
  <si>
    <t>0986623290</t>
  </si>
  <si>
    <t>mayagarica11@hotmail.com</t>
  </si>
  <si>
    <t>1309121380</t>
  </si>
  <si>
    <t>1316306966001</t>
  </si>
  <si>
    <t>CASTILLO GUERRERO PIERINA STEFANIA</t>
  </si>
  <si>
    <t>PIERINA CASTILLO  OBSTETRA</t>
  </si>
  <si>
    <t xml:space="preserve"> LOS JAZMINES  Y URB SAN ANDRES casa #12 INTERNA </t>
  </si>
  <si>
    <t>0989173746</t>
  </si>
  <si>
    <t>castillopieri10@gmail.com</t>
  </si>
  <si>
    <t>1316306966</t>
  </si>
  <si>
    <t>1309167003001</t>
  </si>
  <si>
    <t>MIRANDA TORRES CARLOS AUGUSTO</t>
  </si>
  <si>
    <t>CARE 360 DENTAL &amp; FACE STUDIO</t>
  </si>
  <si>
    <t xml:space="preserve"> AV. DEL EJERCITO Y ESPAÑA</t>
  </si>
  <si>
    <t>0990857103</t>
  </si>
  <si>
    <t>nachimurillo@hotmail.com</t>
  </si>
  <si>
    <t>1309167003</t>
  </si>
  <si>
    <t>1391933070001</t>
  </si>
  <si>
    <t>CONFIANCE S.A.S.</t>
  </si>
  <si>
    <t xml:space="preserve">Centro Medico Club de Leones Andres de Vera </t>
  </si>
  <si>
    <t>Calle Vicente Macias (a los lados de la iglesia Cristo de Consuelo )</t>
  </si>
  <si>
    <t>0959441364</t>
  </si>
  <si>
    <t>mediclabcenter2@gmail.com</t>
  </si>
  <si>
    <t>BALDA ZAMBRANO HARRY DARIO</t>
  </si>
  <si>
    <t>1310853138</t>
  </si>
  <si>
    <t>0962077350001</t>
  </si>
  <si>
    <t>ALVAREZ SILVA ARVIS ARTURO</t>
  </si>
  <si>
    <t xml:space="preserve">CENTRO GINECOLOGICO DR. ARVIS ALVAREZ </t>
  </si>
  <si>
    <t>ciudadela 1 de mayo calle Atanasio santos diagonal a la cevichería tutiven</t>
  </si>
  <si>
    <t>0968077550</t>
  </si>
  <si>
    <t>arvisguajiro@hotmail.com</t>
  </si>
  <si>
    <t>0962077350</t>
  </si>
  <si>
    <t>1310932189001</t>
  </si>
  <si>
    <t>BURGOS MUÑOZ JOSE LUIS</t>
  </si>
  <si>
    <t>CEMEDIS - Centro Médico de Diagnóstico y Salud</t>
  </si>
  <si>
    <t>calle Rocafuerte y Eloy Alfaro diagonal a la plaza Santa Cruz</t>
  </si>
  <si>
    <t>Francisco Pacheco</t>
  </si>
  <si>
    <t>0992481322</t>
  </si>
  <si>
    <t>cemedis.salud@gmail.com</t>
  </si>
  <si>
    <t>1310932189</t>
  </si>
  <si>
    <t>1310001688001</t>
  </si>
  <si>
    <t>RUIZ RUIZ MIRIAN LORENA</t>
  </si>
  <si>
    <t>RESIDENCIA DEL ADULTO MAYOR "DULCE COMPAÑIA"</t>
  </si>
  <si>
    <t>VIA A CRUCITA Y CIUDADELA SAN MARCOS por fabrica Maquita</t>
  </si>
  <si>
    <t>0993831467</t>
  </si>
  <si>
    <t>lorenaruizruiz1980@gmail.com</t>
  </si>
  <si>
    <t>1310001688</t>
  </si>
  <si>
    <t>1301492821001</t>
  </si>
  <si>
    <t>VELEZ DE LA CRUZ VICENTE NAZAEL</t>
  </si>
  <si>
    <t>Consultorio Medico Velez</t>
  </si>
  <si>
    <t>CORDOVA Y FRANCISCO PACHECO</t>
  </si>
  <si>
    <t>0981965482</t>
  </si>
  <si>
    <t>nazaela13@hotmail.com</t>
  </si>
  <si>
    <t>1312124702001</t>
  </si>
  <si>
    <t>MENENDEZ CARREÑO HECTOR ALEXANDER</t>
  </si>
  <si>
    <t>Od. Héctor Menéndez / Odontologia Integral</t>
  </si>
  <si>
    <t>Av. Manabí y Saul Morales</t>
  </si>
  <si>
    <t>0987446373</t>
  </si>
  <si>
    <t>od.hectormenendez@gmail.com</t>
  </si>
  <si>
    <t>1312124702</t>
  </si>
  <si>
    <t>1313235275001</t>
  </si>
  <si>
    <t>DELGADO ARIAS STALIN ANTONY</t>
  </si>
  <si>
    <t>PET SHOP Y ASISTENCIA VETERINARIA EL BUEN DOCTOR</t>
  </si>
  <si>
    <t xml:space="preserve">Via Metropolitana y calle Leon Febres Cordero    </t>
  </si>
  <si>
    <t>0989541446</t>
  </si>
  <si>
    <t>Vet.elbuendoctor@gmail.com</t>
  </si>
  <si>
    <t>1313235275</t>
  </si>
  <si>
    <t>1314710987001</t>
  </si>
  <si>
    <t>PARRAGA CASTRO KRISTHEL PIERINA</t>
  </si>
  <si>
    <t>KRISMED</t>
  </si>
  <si>
    <t>Av. Eloy Alfaro y Ricaurte, diagonal à la Cooperativa Calderon, junto a greenfrost</t>
  </si>
  <si>
    <t>0962540242</t>
  </si>
  <si>
    <t>Kristhel18@hotmail.com</t>
  </si>
  <si>
    <t>KRISTHEL PIERINA PARRAGA CASTRO</t>
  </si>
  <si>
    <t>1314710987</t>
  </si>
  <si>
    <t>1309687232001</t>
  </si>
  <si>
    <t>PONCE VERA MELANNYE SOPHIA</t>
  </si>
  <si>
    <t>DENTCARE</t>
  </si>
  <si>
    <t>ANTONIO MENENDEZ Y AV. REALES TAMARINDOS</t>
  </si>
  <si>
    <t>0997897110</t>
  </si>
  <si>
    <t>mela.ponce@hotmail.com</t>
  </si>
  <si>
    <t>1309687232</t>
  </si>
  <si>
    <t>1315180180001</t>
  </si>
  <si>
    <t>CHAVEZ CHANCAY LEON ALFARO</t>
  </si>
  <si>
    <t>DENTAL PRO</t>
  </si>
  <si>
    <t>AVENIDA URUGUAY  Y CALLE 12 DE OCTUBRE</t>
  </si>
  <si>
    <t>0985666431</t>
  </si>
  <si>
    <t>alfarochavez28@hotmail.com</t>
  </si>
  <si>
    <t>1315180180</t>
  </si>
  <si>
    <t>1310060007001</t>
  </si>
  <si>
    <t>VITERI ROMERO LUIS ENRIQUE</t>
  </si>
  <si>
    <t xml:space="preserve">Torre Medica San Antonio consultorio 205 </t>
  </si>
  <si>
    <t>CALLEJON ROBLES Y TENNIS CLUB</t>
  </si>
  <si>
    <t>0983379398</t>
  </si>
  <si>
    <t>luisviteri82@hotmail.com</t>
  </si>
  <si>
    <t>1310060007</t>
  </si>
  <si>
    <t>1310900947001</t>
  </si>
  <si>
    <t>MANZO MOREIRA LEIDY ELIZABETH</t>
  </si>
  <si>
    <t xml:space="preserve">CONSULTORIO MEDICO "FAMILY"   </t>
  </si>
  <si>
    <t>AV. DEL EJERCITO  Y TERCERA TRANSVERSAL</t>
  </si>
  <si>
    <t>0985948394</t>
  </si>
  <si>
    <t>draleidymanzo@gmail.com</t>
  </si>
  <si>
    <t>1310251457001</t>
  </si>
  <si>
    <t>GUERRERO JURADO LUIS AGUSTIN</t>
  </si>
  <si>
    <t>CONSULTORIO ODONTOLOGICO PLATINUM</t>
  </si>
  <si>
    <t>AVENIDA MANABI  Y SEGUNDA TRANSVERSAL Y LUIS DUEÑAS</t>
  </si>
  <si>
    <t>0989513432</t>
  </si>
  <si>
    <t>agustin.guerrero.jurado24@gmail.com</t>
  </si>
  <si>
    <t>1310251457</t>
  </si>
  <si>
    <t>1303093502001</t>
  </si>
  <si>
    <t>ANCHUNDIA MUENTES HIPATIA MARIA DE LAS MERCEDES</t>
  </si>
  <si>
    <t>ODONTOLOGA DRA HIPATIA ANCHUNDIA MUENTES</t>
  </si>
  <si>
    <t>10 DE AGOSTO 737 Y PACHECO</t>
  </si>
  <si>
    <t>0992157250</t>
  </si>
  <si>
    <t>hipatiaanchundia@hotmail.com</t>
  </si>
  <si>
    <t>1303093502</t>
  </si>
  <si>
    <t>1793218679001</t>
  </si>
  <si>
    <t>EDUNNOVA-PROYECTOS EDUCATIVOS S.A.S.</t>
  </si>
  <si>
    <t>EDUNNOVA</t>
  </si>
  <si>
    <t>Ciudadela nueva California vía manta C.2 Ref Chaya</t>
  </si>
  <si>
    <t>0995007850</t>
  </si>
  <si>
    <t>edunnovaproyectoseducativos@gmail.com</t>
  </si>
  <si>
    <t>RODRIGUEZ ANDRANGO SILVIA LILIANA</t>
  </si>
  <si>
    <t xml:space="preserve"> 1718921776</t>
  </si>
  <si>
    <t>1314016468001</t>
  </si>
  <si>
    <t>GUTIERREZ CEVALLOS JESSENIA BEATRIZ</t>
  </si>
  <si>
    <t>ODOCORP</t>
  </si>
  <si>
    <t xml:space="preserve">Avenida Manabí Guillen atrás de la Olla   </t>
  </si>
  <si>
    <t>0994308081</t>
  </si>
  <si>
    <t>od.jesseniagutierrez@gmail.com</t>
  </si>
  <si>
    <t>1314016468</t>
  </si>
  <si>
    <t>1307043354001</t>
  </si>
  <si>
    <t>CARDENAS PERDOMO DIEGO ALEXANDER</t>
  </si>
  <si>
    <t>PORTODENT</t>
  </si>
  <si>
    <t>RIO AMAZONAS Y ALAMOS</t>
  </si>
  <si>
    <t>0990017376</t>
  </si>
  <si>
    <t>diegodent@hotmail.com</t>
  </si>
  <si>
    <t>1307043354</t>
  </si>
  <si>
    <t>1311500415001</t>
  </si>
  <si>
    <t>MARIANO ANTONIO ALAVA MERO</t>
  </si>
  <si>
    <t>DR. MARIANO ANTONIO ALAVA MERO</t>
  </si>
  <si>
    <t>Av. 5 de Junio entre Av. America y Calle Atahualpa, Diagonal al Club de Leones</t>
  </si>
  <si>
    <t>0983035872</t>
  </si>
  <si>
    <t>worldlevel25@gmail.com</t>
  </si>
  <si>
    <t>Calle 12 de Marzo-FRENTE AL HOSPITAL VERDI CEVALLOS</t>
  </si>
  <si>
    <t>1302611148</t>
  </si>
  <si>
    <t>1310212285001</t>
  </si>
  <si>
    <t>SABANDO VELEZ YURI PATRICIO</t>
  </si>
  <si>
    <t>IMAGENOVA</t>
  </si>
  <si>
    <t xml:space="preserve"> AUTOPISTA MANABI GUILLEN  Y diagonal a urbanización Santa Lucía</t>
  </si>
  <si>
    <t>0969262177</t>
  </si>
  <si>
    <t>imagenova@hotmail.com</t>
  </si>
  <si>
    <t>1310212285</t>
  </si>
  <si>
    <t>1360070840001</t>
  </si>
  <si>
    <t>DIRECCION PROVINCIAL DE SALUD DE MANABI</t>
  </si>
  <si>
    <t>CENTRO ESPECIALIZADO EN REHABILITACION INTEGRAL NO. 3 PORTOVIEJO (EL RODEO)</t>
  </si>
  <si>
    <t>Carretera El Rodeo - La Balsita - Río Chico</t>
  </si>
  <si>
    <t>0981160561</t>
  </si>
  <si>
    <t>yohnny.toala@mspz4.gob.ec</t>
  </si>
  <si>
    <t>PITA MACIAS MARTHA VANESSA</t>
  </si>
  <si>
    <t>1309096236</t>
  </si>
  <si>
    <t>1315757144001</t>
  </si>
  <si>
    <t>VELEZ ANDRADE JAENZ STALYN</t>
  </si>
  <si>
    <t>STAR DENTAL</t>
  </si>
  <si>
    <t>AV. OLMEDO Y RAMOS IDUARTES</t>
  </si>
  <si>
    <t>0967458297</t>
  </si>
  <si>
    <t>jzvelez96@gmail.com</t>
  </si>
  <si>
    <t>1315757144</t>
  </si>
  <si>
    <t>1350184410001</t>
  </si>
  <si>
    <t>COBEÑA BOWEN JACINTO ALBERTO</t>
  </si>
  <si>
    <t xml:space="preserve">Consultorio Médico Althaea </t>
  </si>
  <si>
    <t xml:space="preserve">Calle medardo Cevallos y Vicente Macías “frente a la puerta de emergencias del hospital de especialidades de Portoviejo” </t>
  </si>
  <si>
    <t>0994762567</t>
  </si>
  <si>
    <t>ja_alberto1994@hotmail.com</t>
  </si>
  <si>
    <t>1350184410</t>
  </si>
  <si>
    <t>1315233237001</t>
  </si>
  <si>
    <t>LOOR SAAVEDRA BRANDON JUDEL</t>
  </si>
  <si>
    <t>INUVET</t>
  </si>
  <si>
    <t>AV ROCAFUERTE ENTRE CALLEJON BENITEZ Y AV. GUAYAQUIL</t>
  </si>
  <si>
    <t>0979152678</t>
  </si>
  <si>
    <t>braloor2@gmail.com</t>
  </si>
  <si>
    <t>BRANDON JUDEL LOOR SAAVEDRA</t>
  </si>
  <si>
    <t>1315233237</t>
  </si>
  <si>
    <t>1311912180001</t>
  </si>
  <si>
    <t>Rodriguez Rivadeneira Ronald Edivaldo</t>
  </si>
  <si>
    <t>Denti Salud</t>
  </si>
  <si>
    <t>Calle CD1 y Av. del Ejercto; entrada a la Ciudadela Las Orquideas Cuarta Etapa, Casa 3</t>
  </si>
  <si>
    <t>0960677036</t>
  </si>
  <si>
    <t>rodriguez.rrr@hotmail.com</t>
  </si>
  <si>
    <t>Ronald Edivaldo Rodriguez Rivadeneira</t>
  </si>
  <si>
    <t>1311912180</t>
  </si>
  <si>
    <t>1308306511001</t>
  </si>
  <si>
    <t>MENDOZA SANTOS MARIA VALERIA</t>
  </si>
  <si>
    <t>ODONTOLOGIA ESPECIALIZADA VALERIA MENDOZA S</t>
  </si>
  <si>
    <t>Av del periodista , entre av MANABI y calle 5 de junio</t>
  </si>
  <si>
    <t>0994078510</t>
  </si>
  <si>
    <t>valeriamendoza82@hotmail.com</t>
  </si>
  <si>
    <t>Quincenal</t>
  </si>
  <si>
    <t>MARIA VALERIA MENDOZA SANTOS</t>
  </si>
  <si>
    <t>1308306511</t>
  </si>
  <si>
    <t>1312187634001</t>
  </si>
  <si>
    <t>INTRIAGO MOLINA EDISON JUNIOR</t>
  </si>
  <si>
    <t>GLOBAL DENTAL CENTER</t>
  </si>
  <si>
    <t>AV ELOY ALFARO, DIAGONAL A PASTELERIA ANDONI</t>
  </si>
  <si>
    <t>0982141576</t>
  </si>
  <si>
    <t>ejuniorintriago@gmail.com</t>
  </si>
  <si>
    <t>EDISON JUNIOR INTRIAGO MOLINA</t>
  </si>
  <si>
    <t>1312187634</t>
  </si>
  <si>
    <t>1314393925001</t>
  </si>
  <si>
    <t>PICO SORNOZA ANDREINA SAMIRNA</t>
  </si>
  <si>
    <t>SAMIRNI DENTAL</t>
  </si>
  <si>
    <t>VIA PRINCIPAL CHIRIJOS PLAZACOMERCIALCHIRIJOS</t>
  </si>
  <si>
    <t>Chirijos</t>
  </si>
  <si>
    <t>0990612064</t>
  </si>
  <si>
    <t>andboni2875@hotmail.com</t>
  </si>
  <si>
    <t>ANDREINA SAMIRNA PICO SORNOZA</t>
  </si>
  <si>
    <t>1314393925</t>
  </si>
  <si>
    <t>1311555377001</t>
  </si>
  <si>
    <t>CORRALES MACIAS LETTY ROSSANA</t>
  </si>
  <si>
    <t>HUELLA DENTAL</t>
  </si>
  <si>
    <t>ALAJUELA S/N Y CUARTA TRANSVERSAL</t>
  </si>
  <si>
    <t>0986897871</t>
  </si>
  <si>
    <t>nicolec1991@hotmail.com</t>
  </si>
  <si>
    <t>LETTY ROSSANA CORRALES MACIAS</t>
  </si>
  <si>
    <t>1311555377</t>
  </si>
  <si>
    <t>1313725374001</t>
  </si>
  <si>
    <t>ALAVA SANTANA CARLINA RUBI</t>
  </si>
  <si>
    <t>CONSULTORIO ODONTOLOGICO INTEGRAL CARLINA ALAVA</t>
  </si>
  <si>
    <t>AGUSTO MOREIRA S/N Y ALBERTO MOLINA</t>
  </si>
  <si>
    <t>0939983113</t>
  </si>
  <si>
    <t>rubialava02@gmail.com</t>
  </si>
  <si>
    <t>CARLINA RUBI ALAVA SANTANA</t>
  </si>
  <si>
    <t>1313725374</t>
  </si>
  <si>
    <t>1310938160001</t>
  </si>
  <si>
    <t>ARIAS MONTANERO ANA CAROLINA</t>
  </si>
  <si>
    <t>OD CAROLINA ARIAS</t>
  </si>
  <si>
    <t>LOS JASMINEZ S/N Y PRIMERO DE JUNIO Y PUERTO PRINCIPE</t>
  </si>
  <si>
    <t>0983877067</t>
  </si>
  <si>
    <t>drcaroarias@hotmail.com</t>
  </si>
  <si>
    <t>ANA CAROLINA ARIAS MONTANERO</t>
  </si>
  <si>
    <t>1310938160</t>
  </si>
  <si>
    <t>1315774644001</t>
  </si>
  <si>
    <t>MENDOZA GARCIA LADY ELIZABETH</t>
  </si>
  <si>
    <t>CONSULTORIO MANOS MEDICAS LD</t>
  </si>
  <si>
    <t>CALLE 25 DE DICIEMBRE Y 3 DE MAYO</t>
  </si>
  <si>
    <t>0982436697</t>
  </si>
  <si>
    <t>ladicita2701@gmail.com</t>
  </si>
  <si>
    <t>LADY ELIZABETH MENDOZA GARCIA</t>
  </si>
  <si>
    <t>1315774644</t>
  </si>
  <si>
    <t>0908203656001</t>
  </si>
  <si>
    <t>MENDOZA APARICIO HOOVER EDERSON</t>
  </si>
  <si>
    <t>CONSULTORIO MENDOZA APARICIO HOOVER EDERSON</t>
  </si>
  <si>
    <t>1RA. TRANSVERSAL S/N Y RAMOS Y DUARTE</t>
  </si>
  <si>
    <t>0999184899</t>
  </si>
  <si>
    <t>hooverederson64@gmail.com</t>
  </si>
  <si>
    <t>HOOVER EDERSON MENDOZA APARICIO</t>
  </si>
  <si>
    <t>908203656</t>
  </si>
  <si>
    <t>1309491445001</t>
  </si>
  <si>
    <t>ALARCON BARCIA ALDA NOELIA</t>
  </si>
  <si>
    <t>NOELIA ALARCÓN ODONTOLOGÍA</t>
  </si>
  <si>
    <t>MANABI / PORTOVIEJO / 18 DE OCTUBRE / BOLIVAR AVILA S/N Y OLMEDO JURADO</t>
  </si>
  <si>
    <t>0999270040</t>
  </si>
  <si>
    <t>noeliaab91@hotmail.com</t>
  </si>
  <si>
    <t>ALDA NOELIA ALARCON BARCIA</t>
  </si>
  <si>
    <t>1309491445</t>
  </si>
  <si>
    <t>1312656752001</t>
  </si>
  <si>
    <t>PICO BASURTO GISSELLA ANNABELLE</t>
  </si>
  <si>
    <t>DENTAL PICO</t>
  </si>
  <si>
    <t>AMERICA 531 Y RICAURTE</t>
  </si>
  <si>
    <t>0994779304</t>
  </si>
  <si>
    <t>annabelle_8823@hotmail.com</t>
  </si>
  <si>
    <t>GISSELLA ANNABELLE PICO BASURTO</t>
  </si>
  <si>
    <t>1312656752</t>
  </si>
  <si>
    <t>1312093337001</t>
  </si>
  <si>
    <t>CHEVEZ DELGADO JULIANA JULISSA</t>
  </si>
  <si>
    <t>LABORATORIO DE ANALISIS CLINICO MEDICLAB CETEMEV</t>
  </si>
  <si>
    <t>MANABI / PORTOVIEJO / FRANCISCO PACHECO / 12 DE MARZO S/N Y ROCAFUERTE</t>
  </si>
  <si>
    <t>0985258246</t>
  </si>
  <si>
    <t>mediclab_laboratorio21@outlook.com</t>
  </si>
  <si>
    <t>JULIANA JULISSA CHEVEZ DELGADO</t>
  </si>
  <si>
    <t>1,31209E+12</t>
  </si>
  <si>
    <t>1311524209001</t>
  </si>
  <si>
    <t>BRIONES ZAMBRANO ANDREA PILAR</t>
  </si>
  <si>
    <t>VACUNORTE</t>
  </si>
  <si>
    <t>MANABI / PORTOVIEJO / ANDRÉS DE VERA / AV. BOLIVARIANA S/N Y 3 DE MAYO</t>
  </si>
  <si>
    <t>0982914996</t>
  </si>
  <si>
    <t>Anbriza@icloud.com</t>
  </si>
  <si>
    <t>ANDREA PILAR BRIONES ZAMBRANO</t>
  </si>
  <si>
    <t>1311524209</t>
  </si>
  <si>
    <t>1300015847001</t>
  </si>
  <si>
    <t>CEDEÑO LICOA JOSE HUMBERTO</t>
  </si>
  <si>
    <t>Centro de Tolerancia EL ROSARIO</t>
  </si>
  <si>
    <t>ABDON CALDERON (SAN FRANCISCO) SECTOR JUAN DAME</t>
  </si>
  <si>
    <t>0992259500</t>
  </si>
  <si>
    <t>danielvl80@hotmail.com</t>
  </si>
  <si>
    <t>JOSE HUMBERTO CEDEÑO LICOA</t>
  </si>
  <si>
    <t>1300015847</t>
  </si>
  <si>
    <t>1312063900001</t>
  </si>
  <si>
    <t>YANEZ HINOSTROZA JONNY PATRICIO</t>
  </si>
  <si>
    <t>DENTAL YANEZ CONSULTORIO ODONTOLÓGICO</t>
  </si>
  <si>
    <t>MANABI / PORTOVIEJO / ANDRÉS DE VERA / ACACIAS S/N Y ALMENDROS</t>
  </si>
  <si>
    <t>0996108911</t>
  </si>
  <si>
    <t>drjonnyyanezhinostroza@gmail.com</t>
  </si>
  <si>
    <t>JONNY PATRICIO YANEZ HINOSTROZA</t>
  </si>
  <si>
    <t>1312063900</t>
  </si>
  <si>
    <t>1308893872001</t>
  </si>
  <si>
    <t>HINOSTROZA BENALCAZAR LUIS EDUARDO</t>
  </si>
  <si>
    <t>CONSULTORIO DENTAL HINOSTROZA</t>
  </si>
  <si>
    <t>MANABI / PORTOVIEJO / ANDRÉS DE VERA / LAS ACACIAS S/N Y JAZMINES</t>
  </si>
  <si>
    <t>0994773173</t>
  </si>
  <si>
    <t>luishinostrozab@hotmail.com</t>
  </si>
  <si>
    <t>LUIS EDUARDO HINOSTROZA BENALCAZAR</t>
  </si>
  <si>
    <t>1308893872</t>
  </si>
  <si>
    <t>1350215727001</t>
  </si>
  <si>
    <t>CEDEÑO BRIONES GEMA JULIANA</t>
  </si>
  <si>
    <t>HALTH SMAILE</t>
  </si>
  <si>
    <t>CARLOS EMILIO SOLORZANO S/N Y CESAR CHAVEZ</t>
  </si>
  <si>
    <t>0993363139</t>
  </si>
  <si>
    <t>gelysalvapoore@gmail.com</t>
  </si>
  <si>
    <t>GEMA JULIANA CEDEÑO BRIONES</t>
  </si>
  <si>
    <t>1350215727</t>
  </si>
  <si>
    <t>1310065964001</t>
  </si>
  <si>
    <t>LOOR PLAZA DEXIDA ROSALIA</t>
  </si>
  <si>
    <t>PELUQUERIA D ROSALIA</t>
  </si>
  <si>
    <t>Calle Ricaurte y Quito y Alajuela</t>
  </si>
  <si>
    <t>0988497619</t>
  </si>
  <si>
    <t>rosalialoor489@gmail.com</t>
  </si>
  <si>
    <t>DEXIDA ROSALIA LOOR PLAZA</t>
  </si>
  <si>
    <t>1310065964</t>
  </si>
  <si>
    <t>1312327644001</t>
  </si>
  <si>
    <t>PALMA ARTEAGA INGRID MONSERRATE</t>
  </si>
  <si>
    <t>CONSULTORIO DENTAL</t>
  </si>
  <si>
    <t>MANABI / PORTOVIEJO / ANDRÉS DE VERA / AVENIDA DEL EJERCITO S/N Y AMERICA</t>
  </si>
  <si>
    <t>0968960175</t>
  </si>
  <si>
    <t>ingridp.arteaga25@gmail.com</t>
  </si>
  <si>
    <t>INGRID MONSERRATE PALMA ARTEAGA</t>
  </si>
  <si>
    <t>1312327644</t>
  </si>
  <si>
    <t>1311302259001</t>
  </si>
  <si>
    <t>CEDEÑO ZAMBRANO ZAYDA VICTORIA</t>
  </si>
  <si>
    <t>ZAYDA CEDEÑO PEDIATRA</t>
  </si>
  <si>
    <t>Ventura plaza local 3 ubicado en la avenida 5 de Junio callejón SN pasando redondel los santos vía a Picoaza a un lado de picantería el Mariachi</t>
  </si>
  <si>
    <t>0983314746</t>
  </si>
  <si>
    <t>vicmy2008@hotmail.com</t>
  </si>
  <si>
    <t>ZAYDA VICTORIA CEDEÑO ZAMBRANO</t>
  </si>
  <si>
    <t>1311302259</t>
  </si>
  <si>
    <t>1312412065001</t>
  </si>
  <si>
    <t>VERA LOOR PAOLA AZUCENA</t>
  </si>
  <si>
    <t>DRA EVELYN CEDEÑO</t>
  </si>
  <si>
    <t>MANABI / PORTOVIEJO / 12 DE MARZO / FRANCISCO DE PAULA MOREIRA S/N Y CORONEL SABANDO</t>
  </si>
  <si>
    <t>0988016892</t>
  </si>
  <si>
    <t>paopau@hotmail.es</t>
  </si>
  <si>
    <t>PAOLA AZUCENA VERA LOOR</t>
  </si>
  <si>
    <t>1312412065</t>
  </si>
  <si>
    <t>1313468454001</t>
  </si>
  <si>
    <t>CEDEÑO VELEZ DECSY EVELYN</t>
  </si>
  <si>
    <t>JORGE WHASHINTONG S/N Y CALLE JIPIJAPA</t>
  </si>
  <si>
    <t>0987146243</t>
  </si>
  <si>
    <t>eveabyelvi@gmail.com</t>
  </si>
  <si>
    <t>DECSY EVELYN CEDEÑO VELEZ</t>
  </si>
  <si>
    <t>1313468454</t>
  </si>
  <si>
    <t>1310146657001</t>
  </si>
  <si>
    <t>GOROZABEL MERA IVAN JAVIER</t>
  </si>
  <si>
    <t>CONSULTORIO ODONTOLOGICO SAEM DENTAL</t>
  </si>
  <si>
    <t>MANABI / PORTOVIEJO / 18 DE OCTUBRE / AVENIDA UNIVERSITARIA Y CALLE HOLANDA</t>
  </si>
  <si>
    <t>0982216297</t>
  </si>
  <si>
    <t>dongoro14@hotmail.com</t>
  </si>
  <si>
    <t>IVAN JAVIER GOROZABEL MERA</t>
  </si>
  <si>
    <t>1310146657</t>
  </si>
  <si>
    <t>1311978652001</t>
  </si>
  <si>
    <t>FLOR PLUA ANGELO RENE</t>
  </si>
  <si>
    <t>UNILAB LOOR</t>
  </si>
  <si>
    <t>AV. REALES TAMARINDOS S/N Y PEDRO CEVALLOS VITERI alado de plaza victoria cerca de unimagenloor</t>
  </si>
  <si>
    <t>0978835728</t>
  </si>
  <si>
    <t>unilabloor@gmail.com</t>
  </si>
  <si>
    <t>ANGELO RENE FLOR PLUA</t>
  </si>
  <si>
    <t>1311978652</t>
  </si>
  <si>
    <t>0802365015001</t>
  </si>
  <si>
    <t>CHACON TENEMAZA DIANA RAQUEL</t>
  </si>
  <si>
    <t>CHACON VETERINARIA</t>
  </si>
  <si>
    <t>MANTA S/N Y JORGE WASHINGTON Y EL CARMEN</t>
  </si>
  <si>
    <t>0992019012</t>
  </si>
  <si>
    <t>chaconvet.ec@gmail.com</t>
  </si>
  <si>
    <t>DIANA RAQUEL CHACON TENEMAZA</t>
  </si>
  <si>
    <t>802365015</t>
  </si>
  <si>
    <t>1758035933001</t>
  </si>
  <si>
    <t>ARIAS MARIN CARLOS EDUARDO</t>
  </si>
  <si>
    <t>CENTRO VETERINARIO PACIFIC PETS CARE</t>
  </si>
  <si>
    <t>MANABI / PORTOVIEJO / 18 DE OCTUBRE / REALES TAMARINDOS S/N</t>
  </si>
  <si>
    <t>0997993408</t>
  </si>
  <si>
    <t>pacificpetscare@gmail.com</t>
  </si>
  <si>
    <t>CARLOS EDUARDO ARIAS MARIN</t>
  </si>
  <si>
    <t>1758035933</t>
  </si>
  <si>
    <t>ODONTOLOGA JESSENIA GUTIERREZ</t>
  </si>
  <si>
    <t>SIMON BOLIVAR / SN 45 Y SIMON BOLIVAR</t>
  </si>
  <si>
    <t>JESSENIA BEATRIZ GUTIERREZ CEVALLOS</t>
  </si>
  <si>
    <t>1310651714001</t>
  </si>
  <si>
    <t>PEREZ ZIPA MARIA PATRICIA</t>
  </si>
  <si>
    <t>MASTER DENTAL CONSULTORIO DENTAL</t>
  </si>
  <si>
    <t>REALES TAMARINDOS S/N Y NUEVA</t>
  </si>
  <si>
    <t>0997966350</t>
  </si>
  <si>
    <t>pattypjb@hotmail.com</t>
  </si>
  <si>
    <t>MARIA PATRICIA PEREZ ZIPA</t>
  </si>
  <si>
    <t>1310651714</t>
  </si>
  <si>
    <t>ORA DENTAL</t>
  </si>
  <si>
    <t>CDLA EL MAESTRO CALLE EDUCADORES Y AMIGOS ENTRE MERCY AVILA Y LAS PALMAS</t>
  </si>
  <si>
    <t>IVONNE GUADALUPE GILER SANTISTEVAN</t>
  </si>
  <si>
    <t>1313129539</t>
  </si>
  <si>
    <t>1350318844001</t>
  </si>
  <si>
    <t>CEVALLOS VELIZ GENESSIS THALYA</t>
  </si>
  <si>
    <t>ODONTOSONRISAS</t>
  </si>
  <si>
    <t>CORDOVA 706 Y CHILE frente a la coop Santa Ana</t>
  </si>
  <si>
    <t>0967208379</t>
  </si>
  <si>
    <t>geneceliz_1995@outlook.com</t>
  </si>
  <si>
    <t>GENESSIS THALYA CEVALLOS VELIZ</t>
  </si>
  <si>
    <t>1350318844</t>
  </si>
  <si>
    <t>1304936725001</t>
  </si>
  <si>
    <t>BRAVO VINCES GEOCONDA DOLOROSA</t>
  </si>
  <si>
    <t>CONSULTORIO ODONTOLOGICO DRA BRAVO VINCES GEOCONDA</t>
  </si>
  <si>
    <t>Pedro Gual 242 entre Juan Montalvo y Espejo</t>
  </si>
  <si>
    <t>0997383798</t>
  </si>
  <si>
    <t>geoconda.bravo@hotmail.com</t>
  </si>
  <si>
    <t>GEOCONDA DOLOROSA BRAVO VINCES</t>
  </si>
  <si>
    <t>1,30494E+12</t>
  </si>
  <si>
    <t>1315341527001</t>
  </si>
  <si>
    <t>TRASDIAL S.A.</t>
  </si>
  <si>
    <t>Consultorio odontológico Roadent</t>
  </si>
  <si>
    <t>Av Manabí y callejón Robles al frente de El costillar</t>
  </si>
  <si>
    <t>0978785262</t>
  </si>
  <si>
    <t>launaroa29@gmail.com</t>
  </si>
  <si>
    <t>Laura Nayibeth Roa Andrade</t>
  </si>
  <si>
    <t>1315341527</t>
  </si>
  <si>
    <t>1314951003001</t>
  </si>
  <si>
    <t>BAEZ QUELAL SHEYLA JOHANNA</t>
  </si>
  <si>
    <t>CONSULTORIO DENTAL SHEYLA BAEZ</t>
  </si>
  <si>
    <t>García Moreno y Atahualpa</t>
  </si>
  <si>
    <t>0984108481</t>
  </si>
  <si>
    <t>sheilis_baez@hotmail.com</t>
  </si>
  <si>
    <t>Sheyla Baez</t>
  </si>
  <si>
    <t>1314951003</t>
  </si>
  <si>
    <t>1792578795001</t>
  </si>
  <si>
    <t>EMPRESA DE SALUD GROUPVID CIA LTDA</t>
  </si>
  <si>
    <t>GROUPVID CIA LTDA</t>
  </si>
  <si>
    <t>AV MANABI ENTRE SAUL MORALES Y GRANDA CENTENO</t>
  </si>
  <si>
    <t>0984027042</t>
  </si>
  <si>
    <t>squinteros0623@gmail.com</t>
  </si>
  <si>
    <t>VIVIANA MANCHENO</t>
  </si>
  <si>
    <t>1716349426</t>
  </si>
  <si>
    <t>1312357344001</t>
  </si>
  <si>
    <t>LOOR GARCIA EVELYN MONSERRATE</t>
  </si>
  <si>
    <t>CONSULTORIO MEDICO INDERMA</t>
  </si>
  <si>
    <t>MANABI / PORTOVIEJO / 18 DE OCTUBRE / MANABI S/N Y PIO MONTUFAR</t>
  </si>
  <si>
    <t>0991894623</t>
  </si>
  <si>
    <t>evelynlogar@hotmail.com</t>
  </si>
  <si>
    <t>EVELYN MONSERRATE LOOR GARCIA</t>
  </si>
  <si>
    <t>1312357344</t>
  </si>
  <si>
    <t>1312394263001</t>
  </si>
  <si>
    <t>ZAMBRANO BURGOS JOSSELYN MERCEDES</t>
  </si>
  <si>
    <t>DENTAL CEM</t>
  </si>
  <si>
    <t>FRANCISCO DE PAULA MOREIRA y OLMEDO</t>
  </si>
  <si>
    <t>0963299301</t>
  </si>
  <si>
    <t>j.mercedes.zb@hotmail.com</t>
  </si>
  <si>
    <t>JOSSELYN MERCEDES ZAMBRANO BURGOS</t>
  </si>
  <si>
    <t>1312394263</t>
  </si>
  <si>
    <t>1311302911001</t>
  </si>
  <si>
    <t>MEZA ANTON MARIA JOSE</t>
  </si>
  <si>
    <t>CONSULTORIO MEDICO CEDIM</t>
  </si>
  <si>
    <t>MANABI / PORTOVIEJO / 18 DE OCTUBRE / AV. PAULO EMILIO MACIAS S/N Y REALES TAMARINDOS</t>
  </si>
  <si>
    <t>0991611718</t>
  </si>
  <si>
    <t>maryjossie@hotmail.com</t>
  </si>
  <si>
    <t>MARIA JOSE MEZA ANTON</t>
  </si>
  <si>
    <t>1311302911</t>
  </si>
  <si>
    <t>1311971020001</t>
  </si>
  <si>
    <t>ALAVA RAMOS NANCY HERLINDA</t>
  </si>
  <si>
    <t>NANCY ALAVA CONSULTORIO ODONTOLÓGICO</t>
  </si>
  <si>
    <t>TENIENTE HUGO ORTIZ S/N Y VICTOR EMILIO ESTRADA</t>
  </si>
  <si>
    <t>0986645301</t>
  </si>
  <si>
    <t>lindaalava@hotmail.com</t>
  </si>
  <si>
    <t>NANCY HERLINDA ALAVA RAMOS</t>
  </si>
  <si>
    <t>1,31197E+12</t>
  </si>
  <si>
    <t>1308347606001</t>
  </si>
  <si>
    <t>ALMEIDA BARREIRO IRINA PATRICIA</t>
  </si>
  <si>
    <t>CONSULTORIO MEDICO ESPECIALIZADO</t>
  </si>
  <si>
    <t>MANABI / PORTOVIEJO / 18 DE OCTUBRE / VICTOR VELEZ S/N Y SIN NOMBRE</t>
  </si>
  <si>
    <t>0993168366</t>
  </si>
  <si>
    <t>irina_almeida1976@hotmail.com</t>
  </si>
  <si>
    <t>IRINA PATRICIA ALMEIDA BARREIRO</t>
  </si>
  <si>
    <t>1308347606</t>
  </si>
  <si>
    <t>1312094178001</t>
  </si>
  <si>
    <t>MOREIRA PEÑA CRISTHIAN RENAN</t>
  </si>
  <si>
    <t>DR CRISTHIAN MOREIRA PEÑA ODONTOLOGIA ESPECIALIZADA</t>
  </si>
  <si>
    <t>Prolongación de la AV MANABI S/N Y callejo SN frente a la CUADRA</t>
  </si>
  <si>
    <t>0967259069</t>
  </si>
  <si>
    <t>cristhianmor_17@hotmail.com</t>
  </si>
  <si>
    <t>CRISTHIAN RENAN MOREIRA PEÑA</t>
  </si>
  <si>
    <t>1312094178</t>
  </si>
  <si>
    <t>1309929246001</t>
  </si>
  <si>
    <t>SABANDO CARREÑO TATIANA PAOLA</t>
  </si>
  <si>
    <t>MEDIC</t>
  </si>
  <si>
    <t>EDULFO CEDEÑO Y AV REALES TAMARINDOS</t>
  </si>
  <si>
    <t>0981687782</t>
  </si>
  <si>
    <t>dratati1806@gmail.com</t>
  </si>
  <si>
    <t>TATIANA PAOLA SABANDO CARREÑO</t>
  </si>
  <si>
    <t>1309929246</t>
  </si>
  <si>
    <t>1360000200001</t>
  </si>
  <si>
    <t>GOBIERNO AUTONOMO DESCENTRALIZADO MUNICIPAL DEL CANTON PORTOVIEJO</t>
  </si>
  <si>
    <t>Coordinación de Seguridad y salud Ocupacional</t>
  </si>
  <si>
    <t>OLMEDO Y BOLIVAR Y MORALES</t>
  </si>
  <si>
    <t>0959802564</t>
  </si>
  <si>
    <t>Carlos.CevallosGilces@portoviejo.gob.ec</t>
  </si>
  <si>
    <t>JAVIER HUMBERTO PINCAY SALVATIERRA</t>
  </si>
  <si>
    <t>1307523660</t>
  </si>
  <si>
    <t>1315711844001</t>
  </si>
  <si>
    <t>ARTEAGA PONCE DAYANA PAOLA</t>
  </si>
  <si>
    <t>CENTRO ODONTOLOGICO ARTDENT</t>
  </si>
  <si>
    <t>MANABI / PORTOVIEJO / 18 DE OCTUBRE / VIA CRUCITA S/N Y VICENTE MENDOZA</t>
  </si>
  <si>
    <t>0986784471</t>
  </si>
  <si>
    <t>crisydayi88@gmail.com</t>
  </si>
  <si>
    <t>DAYANA PAOLA ARTEAGA PONCE</t>
  </si>
  <si>
    <t>1315711844</t>
  </si>
  <si>
    <t>1313238121001</t>
  </si>
  <si>
    <t>PONCE CEDEÑO SILVIA PATRICIA</t>
  </si>
  <si>
    <t>MEDUSA BEAUTY BAR</t>
  </si>
  <si>
    <t>AV. RELES TAMARINDOS Y CALLE LA LIBERTAD</t>
  </si>
  <si>
    <t>0992305006</t>
  </si>
  <si>
    <t>Silthijor61728@gmail.com</t>
  </si>
  <si>
    <t>SILVIA PATRICIA PONCE CEDEÑO</t>
  </si>
  <si>
    <t>1313238121</t>
  </si>
  <si>
    <t>1309053591001</t>
  </si>
  <si>
    <t>RODRIGUEZ GILER MELISSA LILI</t>
  </si>
  <si>
    <t>CONSULTORIO ODONTOLOGICO MELISSA LILI RODRIGUEZ GILER</t>
  </si>
  <si>
    <t>MANABI / PORTOVIEJO / ANDRÉS DE VERA / AMERICA S/N Y ESPAÑA</t>
  </si>
  <si>
    <t>0981655188</t>
  </si>
  <si>
    <t>melissa.lili.rodriguez.giler@gmail.com</t>
  </si>
  <si>
    <t>MELISSA LILI RODRIGUEZ GILER</t>
  </si>
  <si>
    <t>1,30905E+12</t>
  </si>
  <si>
    <t>1309996500001</t>
  </si>
  <si>
    <t>FERNANDEZ BOWEN MARTHA JESSENIA</t>
  </si>
  <si>
    <t>NUTRI MEIN NUTRICION Y METABOLISMO</t>
  </si>
  <si>
    <t>REALES TAMARINDO S/N Y CALLE NUEVA Y CALLEJON ROBLES</t>
  </si>
  <si>
    <t>0994425238</t>
  </si>
  <si>
    <t>nutrimein31@gmail.com</t>
  </si>
  <si>
    <t>FERNANDEZ BOWEN MARTHA JESSENIA FERNANDEZ BOWEN</t>
  </si>
  <si>
    <t>1309996500</t>
  </si>
  <si>
    <t>1307319978001</t>
  </si>
  <si>
    <t>PINCAY QUIJIJE CARLOS ALFREDO</t>
  </si>
  <si>
    <t>HOSTAL AYMARA</t>
  </si>
  <si>
    <t>MANABI / PORTOVIEJO / 12 DE MARZO / 9 DE OCTUBRE 502 Y MORALES</t>
  </si>
  <si>
    <t>0981457923</t>
  </si>
  <si>
    <t>pincaycarlos235@gmail.com</t>
  </si>
  <si>
    <t>CARLOS ALFREDO PINCAY QUIJIJE</t>
  </si>
  <si>
    <t>1307319978</t>
  </si>
  <si>
    <t>1315704062001</t>
  </si>
  <si>
    <t>ZAMBRANO PINCAY MARIA VICTORIA</t>
  </si>
  <si>
    <t>VICTORIA ZAMBRANO ODONTOLOGIA</t>
  </si>
  <si>
    <t>Av. del ejercito y Metropolitana</t>
  </si>
  <si>
    <t>0995588927</t>
  </si>
  <si>
    <t>vicky_zampi94@hotmail.com</t>
  </si>
  <si>
    <t>MARIA VICTORIA ZAMBRANO PINCAY</t>
  </si>
  <si>
    <t>1315704062</t>
  </si>
  <si>
    <t>1305457077001</t>
  </si>
  <si>
    <t>JURADO MEZA LUIS ALBERTO</t>
  </si>
  <si>
    <t>Consultorio Medico Luis Jurado</t>
  </si>
  <si>
    <t>ROCAFUERTE 422 Y BOLIVAR Y AV GUAYAQUIL</t>
  </si>
  <si>
    <t>0997692203</t>
  </si>
  <si>
    <t>lu.jume@hotmail.com</t>
  </si>
  <si>
    <t>LUIS ALBERTO JURADO MEZA</t>
  </si>
  <si>
    <t>1305457077</t>
  </si>
  <si>
    <t>1309289922001</t>
  </si>
  <si>
    <t>GARCIA TERAN KERLY LUCIA</t>
  </si>
  <si>
    <t>CENTRO MEDICO Y QUIROPRACTICO CMQ</t>
  </si>
  <si>
    <t>AV DEL EJERCITO-LUIS TIBURCIO MACIAS Y SEGUNDA TRANSVERSAL</t>
  </si>
  <si>
    <t>0991824535</t>
  </si>
  <si>
    <t>klgt_1810@hotmail.com</t>
  </si>
  <si>
    <t>KERLY LUCIA GARCIA TERAN</t>
  </si>
  <si>
    <t>1309289922</t>
  </si>
  <si>
    <t>1314646777001</t>
  </si>
  <si>
    <t>JAMA BURGOS VICTOR VALENTIN</t>
  </si>
  <si>
    <t>VITALIS DENT</t>
  </si>
  <si>
    <t>QUITO S/N Y AVENIDA MANABI plaza fenix</t>
  </si>
  <si>
    <t>0992652547</t>
  </si>
  <si>
    <t>od.victorjb@gmail.com</t>
  </si>
  <si>
    <t>VICTOR VALENTIN JAMA BURGOS</t>
  </si>
  <si>
    <t>1314646777</t>
  </si>
  <si>
    <t>1308651361001</t>
  </si>
  <si>
    <t>GUIZAMANO LUNA DOLORES CATALINA</t>
  </si>
  <si>
    <t>Consultorio Odontologico</t>
  </si>
  <si>
    <t>Ciudadela san jose calle principal Humberto Palacios y quinta transversal esquina</t>
  </si>
  <si>
    <t>0984813458</t>
  </si>
  <si>
    <t>Lolydoc_75@yahoo.com</t>
  </si>
  <si>
    <t>Dolores Catalina Güizamano Luna</t>
  </si>
  <si>
    <t>1308651361</t>
  </si>
  <si>
    <t>1304884693001</t>
  </si>
  <si>
    <t>CASTRO GUTIERREZ JOSE ADOLFO</t>
  </si>
  <si>
    <t>Consultorio Dr Jose Adolfo Castro Gutierrez</t>
  </si>
  <si>
    <t>Avenida Manabí al frente de la puerta de emergencia del hospital del iess de Portoviejo</t>
  </si>
  <si>
    <t>0989617098</t>
  </si>
  <si>
    <t>jacg20380@hotmail.com</t>
  </si>
  <si>
    <t>José Adolfo Castro Gutierrez</t>
  </si>
  <si>
    <t>1304884693</t>
  </si>
  <si>
    <t>1313256883001</t>
  </si>
  <si>
    <t>PICO CORONEL JENNY NATHALY</t>
  </si>
  <si>
    <t>CENTRO ODONTOLOGICO SAN FRANCISCO</t>
  </si>
  <si>
    <t>MANABI / PORTOVIEJO / FRANCISCO PACHECO / JUAN MONTALVO S/N Y BOLIVAR Y 17 DE DICIEMBRE</t>
  </si>
  <si>
    <t>0980142549</t>
  </si>
  <si>
    <t>nathaly1102@hotmail.es</t>
  </si>
  <si>
    <t>JENNY NATHALY PICO CORONEL</t>
  </si>
  <si>
    <t>1313256883</t>
  </si>
  <si>
    <t>1313186577001</t>
  </si>
  <si>
    <t>GARCIA PARRALES EBERT XAVIER</t>
  </si>
  <si>
    <t>CENTRO ODONTOLOGICO PARDENTAL</t>
  </si>
  <si>
    <t>calle 26 de septiembre frente al parque el mamey en callejón lastrado (5ta casa a mano derecha )</t>
  </si>
  <si>
    <t>0985796597</t>
  </si>
  <si>
    <t>ebertdikey@gmail.com</t>
  </si>
  <si>
    <t>Ebert Garcia</t>
  </si>
  <si>
    <t>1313186577</t>
  </si>
  <si>
    <t>1309314324001</t>
  </si>
  <si>
    <t>MENDOZA FLORES SAMIRA ESTEFANIA</t>
  </si>
  <si>
    <t>CONSULTORIO VETERINARIO PORTOVET</t>
  </si>
  <si>
    <t>Calle Sucre entre Espejo y Rocafuerte</t>
  </si>
  <si>
    <t>0993553040</t>
  </si>
  <si>
    <t>sam_ira18@hotmail.com</t>
  </si>
  <si>
    <t>Samira Estefanía Mendoza Flores</t>
  </si>
  <si>
    <t>1309314324</t>
  </si>
  <si>
    <t>1311719874001</t>
  </si>
  <si>
    <t>CEVALLOS SALTOS WILLIAMS ALFREDO</t>
  </si>
  <si>
    <t>MED CARE</t>
  </si>
  <si>
    <t>29 DE SEPTIEMBRE CASA 2 Y SAN PEDRO</t>
  </si>
  <si>
    <t>0990788343</t>
  </si>
  <si>
    <t>williancorreo98@hotmail.com</t>
  </si>
  <si>
    <t>WILLIAMS ALFREDO CEVALLOS SALTOS</t>
  </si>
  <si>
    <t>1311719874</t>
  </si>
  <si>
    <t>1311803157001</t>
  </si>
  <si>
    <t>MUÑOZ YENCHONG LEONARDO SEBASTIAN</t>
  </si>
  <si>
    <t>DUO DEN</t>
  </si>
  <si>
    <t>VIA A CRUCITA KM 4 Y MEDIO 1 Y CALLE DIVINO NIÑO</t>
  </si>
  <si>
    <t>0985240372</t>
  </si>
  <si>
    <t>leoyen@hotmail.es</t>
  </si>
  <si>
    <t>LEONARDO SEBASTIAN MUÑOZ YENCHONG</t>
  </si>
  <si>
    <t>1311803157</t>
  </si>
  <si>
    <t>0104670286001</t>
  </si>
  <si>
    <t>CEDEÑO CARRILLO MARIA JOSE</t>
  </si>
  <si>
    <t>BOTI MASCOTAS</t>
  </si>
  <si>
    <t>MANABI / PORTOVIEJO / FRANCISCO PACHECO / 10 DE AGOSTO S/N Y CALLE ROCAFUERTE</t>
  </si>
  <si>
    <t>0964142876</t>
  </si>
  <si>
    <t>mjcc1710@outlook.es</t>
  </si>
  <si>
    <t>MARIA JOSE CEDEÑO CARRILLO</t>
  </si>
  <si>
    <t>104670286</t>
  </si>
  <si>
    <t>1309988382001</t>
  </si>
  <si>
    <t>SANCLEMENTE VILLAVICENCIO JEAN PAUL</t>
  </si>
  <si>
    <t>QUALITY LABS</t>
  </si>
  <si>
    <t>MANABI / PORTOVIEJO / PUEBLO NUEVO / S/N</t>
  </si>
  <si>
    <t>Pueblo Nuevo</t>
  </si>
  <si>
    <t>0939480856</t>
  </si>
  <si>
    <t>jsanclemente13@gmail.com</t>
  </si>
  <si>
    <t>JEAN PAUL SANCLEMENTE VILLAVICENCIO</t>
  </si>
  <si>
    <t>1309988382</t>
  </si>
  <si>
    <t>1305629394001</t>
  </si>
  <si>
    <t>LLAGUNO MERO ARTURO SALOMON</t>
  </si>
  <si>
    <t>MEDIESTETIC-LASER</t>
  </si>
  <si>
    <t>calle 18 de octubre, entre pedro gual y 10 de agosto</t>
  </si>
  <si>
    <t>0999040467</t>
  </si>
  <si>
    <t>mediestetic-laser@hotmail.com</t>
  </si>
  <si>
    <t>ARTURO SALOMON LLAGUNO MERO</t>
  </si>
  <si>
    <t>1305629394</t>
  </si>
  <si>
    <t>1391709773001</t>
  </si>
  <si>
    <t>PUCE SEDE MANABI</t>
  </si>
  <si>
    <t>CENTRO DE SALUD TIPO A</t>
  </si>
  <si>
    <t>EUDORO LOOR S/N Y ATANACIO SANTOS Y 25 DE DICIEMBRE</t>
  </si>
  <si>
    <t>0995008190</t>
  </si>
  <si>
    <t>mpcevallosm@pucesm.edu.ec</t>
  </si>
  <si>
    <t>JOSE LUIS CAGIGAL GARCIA</t>
  </si>
  <si>
    <t>1702550524</t>
  </si>
  <si>
    <t>1310090178001</t>
  </si>
  <si>
    <t>FERNANDEZ VELEZ ELDA GABRIELA</t>
  </si>
  <si>
    <t>Consultorio M Dra Gabriela Fernández</t>
  </si>
  <si>
    <t>Los Tamarindos segunda etapa, manzana C8, villa 16, es esquinero</t>
  </si>
  <si>
    <t>0992912688</t>
  </si>
  <si>
    <t>dra.gabrielafernandezvelez@gmail.com</t>
  </si>
  <si>
    <t>ELDA GABRIELA FERNANDEZ VELEZ</t>
  </si>
  <si>
    <t>1310090178</t>
  </si>
  <si>
    <t>1312591108001</t>
  </si>
  <si>
    <t>BRIONES MACIAS CARLOS ENRIQUE</t>
  </si>
  <si>
    <t>Consultorio pediátrico Dr Carlos Briones Macías</t>
  </si>
  <si>
    <t>vía Santa Ana / Portoviejo Parroquia Simón Bolívar sector el Naranjo, Antes de llegar a la antigua feria Jotapi</t>
  </si>
  <si>
    <t>0994236333</t>
  </si>
  <si>
    <t>carlos_briones_05@hotmail.com</t>
  </si>
  <si>
    <t>CARLOS ENRIQUE BRIONES MACIAS</t>
  </si>
  <si>
    <t>1312591108</t>
  </si>
  <si>
    <t>1307555126001</t>
  </si>
  <si>
    <t>BAZURTO GARCIA MARJORIE ROMINA</t>
  </si>
  <si>
    <t>CONSULTORIO ODONTOLOGICO DRA MARJORIE BAZURTO</t>
  </si>
  <si>
    <t>AV. MANABI Y CICERON ROBLES Y TENNIS CLUB</t>
  </si>
  <si>
    <t>0997087403</t>
  </si>
  <si>
    <t>omigy12@yahoo.com</t>
  </si>
  <si>
    <t>MARJORIE ROMINA BAZURTO GARCIA</t>
  </si>
  <si>
    <t>1307555126</t>
  </si>
  <si>
    <t>1360065760001</t>
  </si>
  <si>
    <t>EMPRESA PUBLICA DE INFRAESTRUCTURA Y VIALIDAD DE MANABI MANABI VIAL EP</t>
  </si>
  <si>
    <t>MANABI VIAL EP</t>
  </si>
  <si>
    <t>kilómetro 8 y medio vía Portoviejo – Manta.</t>
  </si>
  <si>
    <t>0989855268</t>
  </si>
  <si>
    <t>jhon.gaon@manabivial.gob.ec</t>
  </si>
  <si>
    <t>LESME EDUARDO SANCHEZ VELEZ</t>
  </si>
  <si>
    <t>1309068615</t>
  </si>
  <si>
    <t>1308494283001</t>
  </si>
  <si>
    <t>LARREA DUEÑAS MARIA GRACIA</t>
  </si>
  <si>
    <t>CLINICA DENTAL ENOVA</t>
  </si>
  <si>
    <t>JIPIJAPA 1 Y AV. 5 DE JUNIO - PLAZA ACA</t>
  </si>
  <si>
    <t>0983310961</t>
  </si>
  <si>
    <t>marialarreaduenas@gmail.com</t>
  </si>
  <si>
    <t>MARIA GRACIA LARREA DUEÑAS</t>
  </si>
  <si>
    <t>1308494283</t>
  </si>
  <si>
    <t>1311761249001</t>
  </si>
  <si>
    <t>MENDOZA SOLORZANO ERNESTO EMMANUEL</t>
  </si>
  <si>
    <t>DENTAL SMILE DESIGN</t>
  </si>
  <si>
    <t>AVENIDA MANABI - MADICAL PLAZA OFI 219</t>
  </si>
  <si>
    <t>0969691783</t>
  </si>
  <si>
    <t>dr_ernestomendoza@hotmail.com</t>
  </si>
  <si>
    <t>ERNESTO EMMANUEL MENDOZA SOLORZANO</t>
  </si>
  <si>
    <t>1311761249</t>
  </si>
  <si>
    <t>1309577987001</t>
  </si>
  <si>
    <t>CHAVEZ INTRIAGO JESSICA MONSERRATE</t>
  </si>
  <si>
    <t>CONSULTORIO ODONTOLOGICO DENTAL JEMCHI</t>
  </si>
  <si>
    <t>MANABI / PORTOVIEJO / 18 DE OCTUBRE / NUEVA S/N Y REALES TAMARINDOS</t>
  </si>
  <si>
    <t>0997773302</t>
  </si>
  <si>
    <t>jk_chavez07@hotmail.com</t>
  </si>
  <si>
    <t>JESSICA MONSERRATE CHAVEZ INTRIAGO</t>
  </si>
  <si>
    <t>1309577987</t>
  </si>
  <si>
    <t>0905575734001</t>
  </si>
  <si>
    <t>MIRANDA VACA JOSE GERARDO</t>
  </si>
  <si>
    <t>CONSULTORIO DENTAL MIRANDA</t>
  </si>
  <si>
    <t>25 DE JUNIO Y AV. AMERICA</t>
  </si>
  <si>
    <t>0993236821</t>
  </si>
  <si>
    <t>drmuelita_jm@hotmail.com</t>
  </si>
  <si>
    <t>JOSE GERARDO MIRANDA VACA</t>
  </si>
  <si>
    <t>905575734</t>
  </si>
  <si>
    <t>1313882795001</t>
  </si>
  <si>
    <t>PINOARGOTE ESPAÑA DALI CRISTINA</t>
  </si>
  <si>
    <t>Consultorio Dra Dali Pinoargote</t>
  </si>
  <si>
    <t>Avenida reales Tamarindos. Unimagen Loor</t>
  </si>
  <si>
    <t>0939161011</t>
  </si>
  <si>
    <t>dradcpe@outlook.es</t>
  </si>
  <si>
    <t>Dali Cristina Pinoargote España</t>
  </si>
  <si>
    <t>1313882795</t>
  </si>
  <si>
    <t>1312796939001</t>
  </si>
  <si>
    <t>BERNAL REYNA KARLA LICETH</t>
  </si>
  <si>
    <t>KARLY SPA</t>
  </si>
  <si>
    <t>CALLEJON BOLILLO Y ATANACIO SANTOS Y EUDORO LOOR</t>
  </si>
  <si>
    <t>0959968224</t>
  </si>
  <si>
    <t>kbernalreyna@gmail.com</t>
  </si>
  <si>
    <t>KARLA LICETH BERNAL REYNA</t>
  </si>
  <si>
    <t>1312796939</t>
  </si>
  <si>
    <t>1350064158001</t>
  </si>
  <si>
    <t>FLORES BONILLA SUSANA JOSSELYN</t>
  </si>
  <si>
    <t>CONSULTORIO ORTHOMED</t>
  </si>
  <si>
    <t>Av reales tamarindo y paso lateral</t>
  </si>
  <si>
    <t>0983814038</t>
  </si>
  <si>
    <t>susanafloresb.19@gmail.com</t>
  </si>
  <si>
    <t>Susana josselyn Flores bonilla</t>
  </si>
  <si>
    <t>1350064158</t>
  </si>
  <si>
    <t>1790059111001</t>
  </si>
  <si>
    <t>HIDALGO E HIDALGO S.A.</t>
  </si>
  <si>
    <t>DISPENSARIO MÉDICO</t>
  </si>
  <si>
    <t>BARRIO SAN JOSE, DERIVACION E-30 PORTOVIEJO-QUEVEDO A 500 METROS DEL ALMACEN EL RODEO</t>
  </si>
  <si>
    <t>Riochico</t>
  </si>
  <si>
    <t>0962901067</t>
  </si>
  <si>
    <t>beatrizt1tr@gmail.com</t>
  </si>
  <si>
    <t>BEATRIZ MARTINEZ ASUAJE</t>
  </si>
  <si>
    <t>1759007808</t>
  </si>
  <si>
    <t>1391934890001</t>
  </si>
  <si>
    <t>SVELTI S.A.S.</t>
  </si>
  <si>
    <t>CONSULTORIO SVELTI</t>
  </si>
  <si>
    <t>MANABI / PORTOVIEJO / 18 DE OCTUBRE / CINCO DE JUNIO S/N Y ATAHUALPA</t>
  </si>
  <si>
    <t>0967130330</t>
  </si>
  <si>
    <t>sveltisas@gmail.com</t>
  </si>
  <si>
    <t>MARIA JOSE SOLIS MACIAS</t>
  </si>
  <si>
    <t>1313161554</t>
  </si>
  <si>
    <t>1313377275001</t>
  </si>
  <si>
    <t>SANCHEZ RESTREPO ROBERTH WELLINGTON</t>
  </si>
  <si>
    <t>CONSULTORIO MÉDICO MEDLIFE</t>
  </si>
  <si>
    <t>Calle San Eduardo y 11 de Agosto</t>
  </si>
  <si>
    <t>0962870981</t>
  </si>
  <si>
    <t>medlife_rs@outlook.comR</t>
  </si>
  <si>
    <t>Roberth Wellington Sánchez Restrepo</t>
  </si>
  <si>
    <t>1313377275</t>
  </si>
  <si>
    <t>0909050197001</t>
  </si>
  <si>
    <t>GIRON VILLACIS ODALIA CECIBEL</t>
  </si>
  <si>
    <t>CONSULTORIO MEDICO ODALIA GIRON</t>
  </si>
  <si>
    <t>TIBURCIO MACIAS Y AV MANABÍ Y 5 DE JUNIO</t>
  </si>
  <si>
    <t>0987832360</t>
  </si>
  <si>
    <t>luis_cantos_cevallos@hotmail.com</t>
  </si>
  <si>
    <t>ODALIA CECIBEL GIRON VILLACIS</t>
  </si>
  <si>
    <t>9,0905E+11</t>
  </si>
  <si>
    <t>CONFIANCE SAS</t>
  </si>
  <si>
    <t>MEDIC LAB CENTER 2</t>
  </si>
  <si>
    <t>Cdla las Orquídeas y calle Ariosto Andrade a 50 mts del tuti</t>
  </si>
  <si>
    <t>0963674233</t>
  </si>
  <si>
    <t>HARRY DARIO BALDA ZAMBRANO</t>
  </si>
  <si>
    <t>1391933070</t>
  </si>
  <si>
    <t>1391752709001</t>
  </si>
  <si>
    <t>SERVICIOS CLINICOS Y HOSPITALARIOS SERCLYHOS SA EN LIQUIDACION</t>
  </si>
  <si>
    <t>CLINICA SANTA TERESITA</t>
  </si>
  <si>
    <t>FRANCISCO DE PAULA MOREIRA Y AV. MANABI</t>
  </si>
  <si>
    <t>0995974021</t>
  </si>
  <si>
    <t>Clinicasantateresita@gmail.com</t>
  </si>
  <si>
    <t>DAVID ALFREDO FARFAN INTRIAGO</t>
  </si>
  <si>
    <t>1307843076</t>
  </si>
  <si>
    <t>1310074800001</t>
  </si>
  <si>
    <t>GARCIA LOOR ANA MARIA</t>
  </si>
  <si>
    <t>G DENTAL</t>
  </si>
  <si>
    <t>AV. PAULO EMILIO MACIAS Y MANABI Y TENNIS CLUB</t>
  </si>
  <si>
    <t>0992263346</t>
  </si>
  <si>
    <t>megadulce010684@gmail.com</t>
  </si>
  <si>
    <t>ANA MARIA GARCIA LOOR</t>
  </si>
  <si>
    <t>1310074800</t>
  </si>
  <si>
    <t>1314076850001</t>
  </si>
  <si>
    <t>CABALLERO MENDOZA MARIA GISSELLE</t>
  </si>
  <si>
    <t>Mundo Sonrisas</t>
  </si>
  <si>
    <t>AV. MANABÍ/ULBIO ALCIVAR Y QUINTA TRANSVERSAL</t>
  </si>
  <si>
    <t>0982231009</t>
  </si>
  <si>
    <t>caballerogisselle71@gmail.com</t>
  </si>
  <si>
    <t>MARIA GISSELLE CABALLERO MENDOZA</t>
  </si>
  <si>
    <t>1314076850</t>
  </si>
  <si>
    <t>1792785251001</t>
  </si>
  <si>
    <t>CENTROS MEDICOS INTERNACIONALES INTERCENMED SA</t>
  </si>
  <si>
    <t>PRAXMED</t>
  </si>
  <si>
    <t>AV MANABI S/N Y AMERICA JUNTO A BANCO DEL PACIFICO CONTIGUO A FARMACIA FYBECA</t>
  </si>
  <si>
    <t>0992134737</t>
  </si>
  <si>
    <t>shidalgo@praxmed.com.ec</t>
  </si>
  <si>
    <t>ERWIN GUSTAVO DE LA PARED COLOMA</t>
  </si>
  <si>
    <t>912604261</t>
  </si>
  <si>
    <t>1305750182001</t>
  </si>
  <si>
    <t>LUQUE ROBLES BELLA AURORA</t>
  </si>
  <si>
    <t>ATAHUALPA 309 Y 5 DE JUNIO</t>
  </si>
  <si>
    <t>0997200956</t>
  </si>
  <si>
    <t>bellaurora@yahoo.com</t>
  </si>
  <si>
    <t>BELLA AURORA LUQUE ROBLES</t>
  </si>
  <si>
    <t>1305750182</t>
  </si>
  <si>
    <t>1302937535001</t>
  </si>
  <si>
    <t>CASTRO MACIAS ALBERTO ISACIO</t>
  </si>
  <si>
    <t>CONSULTORIO MEDICO</t>
  </si>
  <si>
    <t>MANABI / PORTOVIEJO / 12 DE MARZO / ROCAFUERTE S/N Y BOLIVAR Y AV. GUAYAQUIL</t>
  </si>
  <si>
    <t>0997066085</t>
  </si>
  <si>
    <t>alberto1medico@hotmail.com</t>
  </si>
  <si>
    <t>ALBERTO ISACIO CASTRO MACIAS</t>
  </si>
  <si>
    <t>1302937535</t>
  </si>
  <si>
    <t>1313235168001</t>
  </si>
  <si>
    <t>PICO SORNOZA CECILIA STEFANIA</t>
  </si>
  <si>
    <t>CONSULTORIO ODONTOLÓGICO</t>
  </si>
  <si>
    <t>quinta transversal diagonal a las bodegas del shopping</t>
  </si>
  <si>
    <t>0993093824</t>
  </si>
  <si>
    <t>jsfefita@hotmail.com</t>
  </si>
  <si>
    <t>CECILIA STEFANIA PICO SORNOZA</t>
  </si>
  <si>
    <t>1313235168</t>
  </si>
  <si>
    <t>1307800217001</t>
  </si>
  <si>
    <t>RAMOS MENENDEZ YANIRA VANESSA</t>
  </si>
  <si>
    <t>Consultorio de Pediatría</t>
  </si>
  <si>
    <t>Cordova y Pedro Gual frente a Clínica Morales</t>
  </si>
  <si>
    <t>0994833651</t>
  </si>
  <si>
    <t>yaniramos777@yahoo.es</t>
  </si>
  <si>
    <t>Yanira Ramos</t>
  </si>
  <si>
    <t>1307800217</t>
  </si>
  <si>
    <t>1306916915001</t>
  </si>
  <si>
    <t>GUERRERO ZAMBRANO CINTHYA MARIA</t>
  </si>
  <si>
    <t>CENTRO DE ESPECIALIDADES GUERRERO</t>
  </si>
  <si>
    <t>MANABI / PORTOVIEJO / 18 DE OCTUBRE / FORTALEZA SN Y AUTOPISTA MANABI GUILLEN</t>
  </si>
  <si>
    <t>0969600569</t>
  </si>
  <si>
    <t>cingue@hotmail.com</t>
  </si>
  <si>
    <t>CINTHYA MARIA GUERRERO ZAMBRANO</t>
  </si>
  <si>
    <t>1306916915</t>
  </si>
  <si>
    <t>1391913141001</t>
  </si>
  <si>
    <t>CENTRO DE ESPECIALIDADES MEDICAS Y ODONTOLOGICAS MEDICyDENTAL S A</t>
  </si>
  <si>
    <t>CORDOVA 988 Y 10 DE AGOSTO Y PEDRO GUAL</t>
  </si>
  <si>
    <t>0999881144</t>
  </si>
  <si>
    <t>caviar3@hotmail.com</t>
  </si>
  <si>
    <t>CARLOS JAVIER VILLACRESES ARTEAGA</t>
  </si>
  <si>
    <t>1391913141</t>
  </si>
  <si>
    <t>1311785107001</t>
  </si>
  <si>
    <t>CARLOS ARCENIO ARAY CEDEÑO</t>
  </si>
  <si>
    <t>Centro Odontologico Fundacion Emma</t>
  </si>
  <si>
    <t>Calle Rocafuerte y Avenida Guayaquil</t>
  </si>
  <si>
    <t>0994891157</t>
  </si>
  <si>
    <t>carlitosaray1991@gmail.com</t>
  </si>
  <si>
    <t>Carlos Arcenio Aray Cedeño</t>
  </si>
  <si>
    <t>1311785107</t>
  </si>
  <si>
    <t>1722370770001</t>
  </si>
  <si>
    <t>JACOME UTRERAS ULISES VLADIMIR</t>
  </si>
  <si>
    <t>TATTOOL</t>
  </si>
  <si>
    <t>AV. UNIVERSITARIA Y HONORIO VILLAVICENCIO</t>
  </si>
  <si>
    <t>0979708999</t>
  </si>
  <si>
    <t>portoviejotattool@gmail.com</t>
  </si>
  <si>
    <t>ULISES VLADIMIR JACOME UTRERAS</t>
  </si>
  <si>
    <t>1722370770</t>
  </si>
  <si>
    <t>1350104814001</t>
  </si>
  <si>
    <t>NARANJO PARRAGA MARCIA IVETH</t>
  </si>
  <si>
    <t>NARANJO CONSULTORIO ODONTOLOGICO</t>
  </si>
  <si>
    <t>CALLE COLÓN Y QUIROGA Y AVENIDA RICAURTE</t>
  </si>
  <si>
    <t>0967217427</t>
  </si>
  <si>
    <t>narajoodc@gmail.com</t>
  </si>
  <si>
    <t>MARCIA IVETH NARANJO PARRAGA</t>
  </si>
  <si>
    <t>13501048140</t>
  </si>
  <si>
    <t>1312597303001</t>
  </si>
  <si>
    <t>CASTRO VELEZ EDUARDO LUIS</t>
  </si>
  <si>
    <t>Consultorio general Dr Eduardo Castro</t>
  </si>
  <si>
    <t>Calle Vicente Macías (Club de leones Andrés de Vera)</t>
  </si>
  <si>
    <t>0995461479</t>
  </si>
  <si>
    <t>educas.eexito92@gmail.com</t>
  </si>
  <si>
    <t>Eduardo Luis Castro Vélez</t>
  </si>
  <si>
    <t>1312597303</t>
  </si>
  <si>
    <t>1309288510001</t>
  </si>
  <si>
    <t>MORA SOLORZANO MATILDE MARIELA</t>
  </si>
  <si>
    <t>CONSULTORIO DERMATOLOGICO MARIELA MORA</t>
  </si>
  <si>
    <t>MANABI / PORTOVIEJO / SIMON BOLIVAR / 26 DE SEPTIEMBRE S/N Y PARAISO</t>
  </si>
  <si>
    <t>0999783402</t>
  </si>
  <si>
    <t>dramarielamora@gmail.com</t>
  </si>
  <si>
    <t>MATILDE MARIELA MORA SOLORZANO</t>
  </si>
  <si>
    <t>1309288510</t>
  </si>
  <si>
    <t>1313760975001</t>
  </si>
  <si>
    <t>VERA ZAMBRANO KAREN ROXANA</t>
  </si>
  <si>
    <t>Consultorio odontológico Od Karen Vera</t>
  </si>
  <si>
    <t>Estancia vieja vía a Sta Ana</t>
  </si>
  <si>
    <t>Colón</t>
  </si>
  <si>
    <t>0989503495</t>
  </si>
  <si>
    <t>krvz2007@hotmail.com</t>
  </si>
  <si>
    <t>Karen Vera</t>
  </si>
  <si>
    <t>1313760975</t>
  </si>
  <si>
    <t>1310148638001</t>
  </si>
  <si>
    <t>MENDOZA RODAS JOSE BOSCO</t>
  </si>
  <si>
    <t>CONSULTORIO DR BOSCO MENDOZA</t>
  </si>
  <si>
    <t>TENNIS CLUB 557 Y AV. REALES TAMARINDOS</t>
  </si>
  <si>
    <t>0995663629</t>
  </si>
  <si>
    <t>jbosco_mendoza@hotmail.com</t>
  </si>
  <si>
    <t>JOSE BOSCO MENDOZA RODAS</t>
  </si>
  <si>
    <t>1310148638</t>
  </si>
  <si>
    <t>1391779313001</t>
  </si>
  <si>
    <t>CEDEÑO MACIAS HAROLD SEGUNDO</t>
  </si>
  <si>
    <t>Centro Cardio S A</t>
  </si>
  <si>
    <t>AV. REALES TAMARINDOS cerca de la plaza NOUVA</t>
  </si>
  <si>
    <t>0985993737</t>
  </si>
  <si>
    <t>hscmj@hotmail.com</t>
  </si>
  <si>
    <t>HAROLD SEGUNDO CEDEÑO MACIAS</t>
  </si>
  <si>
    <t>1305022376</t>
  </si>
  <si>
    <t>1302339682001</t>
  </si>
  <si>
    <t>GUERRERO GARCIA KEMPIS VERNON</t>
  </si>
  <si>
    <t>consultorio medico KEMPIS</t>
  </si>
  <si>
    <t>AV. REALES TAMARINDOS S/N Y PORTOVIEJO</t>
  </si>
  <si>
    <t>0991236583</t>
  </si>
  <si>
    <t>gvasari3@gmail.com</t>
  </si>
  <si>
    <t>KEMPIS VERNON GUERRERO GARCIA</t>
  </si>
  <si>
    <t>1302339682</t>
  </si>
  <si>
    <t>1314718642001</t>
  </si>
  <si>
    <t>GUTIERREZ BARRETO JOSE FRANCISCO</t>
  </si>
  <si>
    <t>JIREH LABORATORIO CLINICO</t>
  </si>
  <si>
    <t>VIA A LOS ARENALES 00 Y VIA A LAS GILCES</t>
  </si>
  <si>
    <t>Crucita</t>
  </si>
  <si>
    <t>0991104795</t>
  </si>
  <si>
    <t>josegutierrez_1993@hotmail.com</t>
  </si>
  <si>
    <t>JOSE FRANCISCO GUTIERREZ BARRETO</t>
  </si>
  <si>
    <t>1314718642</t>
  </si>
  <si>
    <t>1314041482001</t>
  </si>
  <si>
    <t>GARCIA ARTEAGA KARLA SOFIA</t>
  </si>
  <si>
    <t>Consulta Odontologica Especializada Karla S García A</t>
  </si>
  <si>
    <t>Florestal, diagonal al UPC, frente al monumento La madre</t>
  </si>
  <si>
    <t>0987166862</t>
  </si>
  <si>
    <t>karlasofia91@hotmail.com</t>
  </si>
  <si>
    <t>Karla García</t>
  </si>
  <si>
    <t>1314041482</t>
  </si>
  <si>
    <t>1756764872001</t>
  </si>
  <si>
    <t>GOMEZ LOPEZ RAFAEL JESUS</t>
  </si>
  <si>
    <t>CONSULTORIO MEDICO MADAMECOURIE</t>
  </si>
  <si>
    <t>PASO LATERAL EN PLAZA ALAYA frente a la olla restaurant</t>
  </si>
  <si>
    <t>0995714256</t>
  </si>
  <si>
    <t>gomezjrafael@gmail.com</t>
  </si>
  <si>
    <t>RAFAEL JESUS GOMEZ LOPEZ</t>
  </si>
  <si>
    <t>1756764872</t>
  </si>
  <si>
    <t>1311550568001</t>
  </si>
  <si>
    <t>CEVALLOS LOOR DARIO JAVIER</t>
  </si>
  <si>
    <t>DARIDENT</t>
  </si>
  <si>
    <t>MANABI / PORTOVIEJO / ANDRÉS DE VERA / AV. DEL EJERCITO S/N Y 5 DE OCTUBRE</t>
  </si>
  <si>
    <t>0978619660</t>
  </si>
  <si>
    <t>dr.dariocevallos85@hotmail.com</t>
  </si>
  <si>
    <t>DARIO JAVIER CEVALLOS LOOR</t>
  </si>
  <si>
    <t>1311550568</t>
  </si>
  <si>
    <t>1311737629001</t>
  </si>
  <si>
    <t>MERA VARGAS SERGIO HERIBERTO</t>
  </si>
  <si>
    <t>PORTOSMILE</t>
  </si>
  <si>
    <t>RAMOS IDUARTE Y OLMEDO</t>
  </si>
  <si>
    <t>0962611308</t>
  </si>
  <si>
    <t>sergioheribertomeravargas@gmail.com</t>
  </si>
  <si>
    <t>SERGIO HERIBERTO MERA VARGAS</t>
  </si>
  <si>
    <t>1311737629</t>
  </si>
  <si>
    <t>1350734776001</t>
  </si>
  <si>
    <t>ANDRADE VERA ALEXIA NICOLE</t>
  </si>
  <si>
    <t>NICOLE ANDRADE ODONTOLOGIA INTEGRAL</t>
  </si>
  <si>
    <t>MANABI / PORTOVIEJO / 12 DE MARZO / CESAR CHAVEZ CAÑARTE S/N Y PRIMERA TRANSVERSAL</t>
  </si>
  <si>
    <t>0992611052</t>
  </si>
  <si>
    <t>alexia_nicole097@hotmail.com</t>
  </si>
  <si>
    <t>ALEXIA NICOLE ANDRADE VERA</t>
  </si>
  <si>
    <t>1350734776</t>
  </si>
  <si>
    <t>1312030750001</t>
  </si>
  <si>
    <t>SABANDO CHAVEZ DIANA CAROLINA</t>
  </si>
  <si>
    <t>CAROL DENTAL</t>
  </si>
  <si>
    <t>JIPIJAPA Y 3 DE MAYO Jorge Washington casa azul con gris entre dos muros</t>
  </si>
  <si>
    <t>0987632526</t>
  </si>
  <si>
    <t>caroldental1988@gmail.com</t>
  </si>
  <si>
    <t>DIANA CAROLINA SABANDO CHAVEZ</t>
  </si>
  <si>
    <t>1312030750</t>
  </si>
  <si>
    <t>1306079722001</t>
  </si>
  <si>
    <t>GARCIA CEVALLOS NUVIA MERCEDES</t>
  </si>
  <si>
    <t>CAINICOMPUT CURSO DE ENFERMERIA</t>
  </si>
  <si>
    <t>CORDOVA Y PEDRO GUAL</t>
  </si>
  <si>
    <t>0982679526</t>
  </si>
  <si>
    <t>Cainirecursohumano@hotmail.com</t>
  </si>
  <si>
    <t>NUVIA MERCEDES GARCIA CEVALLOS</t>
  </si>
  <si>
    <t>1,30608E+12</t>
  </si>
  <si>
    <t>1315300358001</t>
  </si>
  <si>
    <t>FARFAN VALDEZ ERIKA PAOLA</t>
  </si>
  <si>
    <t>Consultorio dental Dra teeth</t>
  </si>
  <si>
    <t>Nobel plaza (planta alta) Calle Paulo Emilio Macias y enmugdo izaguirre</t>
  </si>
  <si>
    <t>0967756672</t>
  </si>
  <si>
    <t>erickafarfan20@gmail.com</t>
  </si>
  <si>
    <t>Ericka Paola Farfan Valdez</t>
  </si>
  <si>
    <t>1315300358</t>
  </si>
  <si>
    <t>1305196634001</t>
  </si>
  <si>
    <t>DUEÑAS PORTILLA ROSA LILIANA</t>
  </si>
  <si>
    <t>CONSULTORIO ODONTOLOGICO SALUD DENTAL</t>
  </si>
  <si>
    <t>AV. MANABI Y QUITO esquina, altos de la efectiva</t>
  </si>
  <si>
    <t>0997025758</t>
  </si>
  <si>
    <t>lilidu.67@outlook.com</t>
  </si>
  <si>
    <t>ROSA LILIANA DUEÑAS PORTILLA</t>
  </si>
  <si>
    <t>1305196634</t>
  </si>
  <si>
    <t>1201679964001</t>
  </si>
  <si>
    <t>NARANJO ROJAS XIOMARA ALEXANDRA</t>
  </si>
  <si>
    <t>Consultorio Dental Mi Dentista</t>
  </si>
  <si>
    <t>Ramos iduarte entre Ricaurte y Chile</t>
  </si>
  <si>
    <t>0999359036</t>
  </si>
  <si>
    <t>naranjo_xiomara@hotmail.com</t>
  </si>
  <si>
    <t>Xiomara Naranjo</t>
  </si>
  <si>
    <t>1201679964</t>
  </si>
  <si>
    <t>1305201467001</t>
  </si>
  <si>
    <t>ZAMBRANO SANTOS ARACELY ANNABELL</t>
  </si>
  <si>
    <t>Consultorio OBSTETRA</t>
  </si>
  <si>
    <t>PROLONGACION DE LA AV. MANABI Y 5 DE JUNIO Y TIBURCIO MACIAS frente al hotel oro verde</t>
  </si>
  <si>
    <t>0987888415</t>
  </si>
  <si>
    <t>aracelyzs@hotmail.es</t>
  </si>
  <si>
    <t>ARACELY ANNABELL ZAMBRANO SANTOS</t>
  </si>
  <si>
    <t>1305201467</t>
  </si>
  <si>
    <t>1391933091001</t>
  </si>
  <si>
    <t>CENTRO ESPECIALIZADO DE IMAGENES MANABI CEDIM S.A.S.</t>
  </si>
  <si>
    <t>CENTRO ESPECIALIZADO DE IMAGENES MANABI CEDIM</t>
  </si>
  <si>
    <t>MANABI / PORTOVIEJO / FRANCISCO PACHECO / ROCAFUERTE SN Y SIMON BOLIVAR</t>
  </si>
  <si>
    <t>0967569030</t>
  </si>
  <si>
    <t>danalis@outlook.es</t>
  </si>
  <si>
    <t>VALVERDE VILLACIS DIANA LISSETH</t>
  </si>
  <si>
    <t>2300275027</t>
  </si>
  <si>
    <t>1391880073001</t>
  </si>
  <si>
    <t>ANGIOCOSTA CIA.LTDA.</t>
  </si>
  <si>
    <t>Autopista Manabí Guillen, Diagonal al Registro Civil</t>
  </si>
  <si>
    <t>0998769513</t>
  </si>
  <si>
    <t>angiocostacia@gmail.com</t>
  </si>
  <si>
    <t>NOVILLO TAPIA MANUEL ANGEL</t>
  </si>
  <si>
    <t>101776334</t>
  </si>
  <si>
    <t>0957711799001</t>
  </si>
  <si>
    <t>MARTIN MOYA LUZ AMARILIS</t>
  </si>
  <si>
    <t>MARTIN'S DENTAL</t>
  </si>
  <si>
    <t>MANABI / PORTOVIEJO / 18 DE OCTUBRE / AVENIDA 5 DE JUNIO S/N Y SIN CALLE SECUNDARIA</t>
  </si>
  <si>
    <t>0958604281</t>
  </si>
  <si>
    <t>lucecitamartin1961@gmail.com</t>
  </si>
  <si>
    <t>957711799</t>
  </si>
  <si>
    <t>1350592760001</t>
  </si>
  <si>
    <t>CEDEÑO CARREÑO FRANKLIN ALEJANDRO</t>
  </si>
  <si>
    <t>MANABI / PORTOVIEJO / ABDON CALDERON (SAN FRANCISCO) / AV. ELOY ALFARO S/N Y NARANJAL</t>
  </si>
  <si>
    <t>San Plácido</t>
  </si>
  <si>
    <t>0983691240</t>
  </si>
  <si>
    <t>alexfcc211@gmail.com</t>
  </si>
  <si>
    <t>1350592760</t>
  </si>
  <si>
    <t>1308288461001</t>
  </si>
  <si>
    <t>ALVARADO FARFAN FARATH PIERINA</t>
  </si>
  <si>
    <t>PAF DENT</t>
  </si>
  <si>
    <t>Av. Manabí y fco de p Moreira esquina</t>
  </si>
  <si>
    <t>0996722963</t>
  </si>
  <si>
    <t>pieripaf@hotmail.com</t>
  </si>
  <si>
    <t>1308288461</t>
  </si>
  <si>
    <t>1309318358001</t>
  </si>
  <si>
    <t>MALLA VALDIVIEZO LUIS ALBERTO</t>
  </si>
  <si>
    <t>Consultorio médico Malla Mendieta</t>
  </si>
  <si>
    <t>AUTOPISTA MANABI GUILLEN</t>
  </si>
  <si>
    <t>0997088677</t>
  </si>
  <si>
    <t>dr.mallaginecologo@gmail.com</t>
  </si>
  <si>
    <t>1309318358</t>
  </si>
  <si>
    <t>1310752074001</t>
  </si>
  <si>
    <t>VARGAS SORNOZA CARLOS NAPOLEON</t>
  </si>
  <si>
    <t>CENTRO ODONTOLOGICO CARLOS VARGAS</t>
  </si>
  <si>
    <t>AV. DEL EJERCITO entrada a las orquídeas primer muro</t>
  </si>
  <si>
    <t>0979438039</t>
  </si>
  <si>
    <t>cayuco.1995@gmail.com</t>
  </si>
  <si>
    <t>1310752074</t>
  </si>
  <si>
    <t>1305261552001</t>
  </si>
  <si>
    <t>ROMERO MOLINA STALIN XAVIER</t>
  </si>
  <si>
    <t>CETAD EL DESAFIO</t>
  </si>
  <si>
    <t>OLIVA MIRANDA S/N Y MANTA QUEVEDO (SITIO EL RODEO VIA A CALDERÓN FRENTE A LA JARDINERÍA EL RODEO)</t>
  </si>
  <si>
    <t>0988241645</t>
  </si>
  <si>
    <t>cetadeldesafio2022@outlook.com</t>
  </si>
  <si>
    <t>STALIN XAVIER ROMERO MOLINA</t>
  </si>
  <si>
    <t>1305261552</t>
  </si>
  <si>
    <t>1306911726001</t>
  </si>
  <si>
    <t>CHANG VELEZ TAMARA SCARLEHT</t>
  </si>
  <si>
    <t>CONSULTORIO VETERINARIO CHANG</t>
  </si>
  <si>
    <t>MANABI / PORTOVIEJO / 12 DE MARZO / CHILE S/N Y COLON Y 18 DE OCTUBRE</t>
  </si>
  <si>
    <t>0994445997</t>
  </si>
  <si>
    <t>drachang1971@yahoo.com</t>
  </si>
  <si>
    <t>1306911726</t>
  </si>
  <si>
    <t>1314742089001</t>
  </si>
  <si>
    <t>COBEÑA GARCIA WENDY ALEJANDRA</t>
  </si>
  <si>
    <t>CONSULTORIO MÉDICO CAMPIMEDIC</t>
  </si>
  <si>
    <t>CALLE ROCAFUERTE Y AV GUAYAQUIL</t>
  </si>
  <si>
    <t>0990931520</t>
  </si>
  <si>
    <t>wendy_cobena_19@outlook.com</t>
  </si>
  <si>
    <t>WENDY ALEJANDRA COBEÑA GARCIA</t>
  </si>
  <si>
    <t>1314742089</t>
  </si>
  <si>
    <t>0959622226001</t>
  </si>
  <si>
    <t>SUAREZ FERNANDEZ JUAN CARLOS</t>
  </si>
  <si>
    <t>CENTRO MEDICO CEMEFAG</t>
  </si>
  <si>
    <t>MANABI / PORTOVIEJO / 18 DE OCTUBRE / AV MANABI 0 Y MANUEL PALOMEQUE</t>
  </si>
  <si>
    <t>0967066230</t>
  </si>
  <si>
    <t>cemefag@gmail.com</t>
  </si>
  <si>
    <t>JUAN CARLOS SUAREZ FERNANDEZ</t>
  </si>
  <si>
    <t>959622226</t>
  </si>
  <si>
    <t>ACESS-2024-Z04-0212378</t>
  </si>
  <si>
    <t>1791721063001</t>
  </si>
  <si>
    <t>CORPORACION KIMIRINA</t>
  </si>
  <si>
    <t>PICHINCHA / QUITO / MARISCAL SUCRE / ANDRES XAURA N24-170 Y MARISCAL FOCH</t>
  </si>
  <si>
    <t>0961079264</t>
  </si>
  <si>
    <t>xpico@kimirina.org</t>
  </si>
  <si>
    <t>AMIRA MARIA HERDOIZA RAMIREZ</t>
  </si>
  <si>
    <t>1704601440</t>
  </si>
  <si>
    <t>0501974653001</t>
  </si>
  <si>
    <t>GUTIERREZ MORENO GEOVANNA ELIZABETH</t>
  </si>
  <si>
    <t>Geovanna Gutierrez</t>
  </si>
  <si>
    <t>Av. Manabi y Tennis Club Medical Plaza 216</t>
  </si>
  <si>
    <t>0985757576</t>
  </si>
  <si>
    <t>geovannaderma@hotmail.com</t>
  </si>
  <si>
    <t>501974653</t>
  </si>
  <si>
    <t>1310072473001</t>
  </si>
  <si>
    <t>MANZABA MOREIRA JOHANNA JAQUELINE</t>
  </si>
  <si>
    <t>Laboratorio clínico Santa Inés</t>
  </si>
  <si>
    <t>Juan Montalvo y Eloy Alfaro frente al parque</t>
  </si>
  <si>
    <t>0993317754</t>
  </si>
  <si>
    <t>johanna_manzaba@hotmail.com</t>
  </si>
  <si>
    <t>Johanna Jackeline Manzaba Moreira</t>
  </si>
  <si>
    <t>1310072473</t>
  </si>
  <si>
    <t>Av. 15 de Abril , Sucre ,3 Marías debajo de la antigua clínica mamá Ángela</t>
  </si>
  <si>
    <t>Calle 5 de Junio y Atahualpa</t>
  </si>
  <si>
    <t>1315508158001</t>
  </si>
  <si>
    <t>GARCIA CEVALLOS XAVIER ALEXANDER</t>
  </si>
  <si>
    <t>SALUD ORAL</t>
  </si>
  <si>
    <t>LOS JAZMINES</t>
  </si>
  <si>
    <t>0969169517</t>
  </si>
  <si>
    <t>g.dental.salud.oral@gmail.com</t>
  </si>
  <si>
    <t>XAVIER ALEXANDER GARCIA CEVALLOS</t>
  </si>
  <si>
    <t>1315508158</t>
  </si>
  <si>
    <t>1723134431001</t>
  </si>
  <si>
    <t>BAILON CEDEÑO VIVIANA MERCEDES</t>
  </si>
  <si>
    <t>Consultorio medico Samaritans Medic</t>
  </si>
  <si>
    <t>Calle 26 de septiembre y 12 de octubre diagonal al colegio Uruguay</t>
  </si>
  <si>
    <t>0939477804</t>
  </si>
  <si>
    <t>samaritansmedic@hotmail.com</t>
  </si>
  <si>
    <t>Viviana Bailon</t>
  </si>
  <si>
    <t>1723134431</t>
  </si>
  <si>
    <t>1310252323001</t>
  </si>
  <si>
    <t>HERNANDEZ MIELES CRISTHIAN GUILLERMO</t>
  </si>
  <si>
    <t>Total Harmony</t>
  </si>
  <si>
    <t>Calle 10 de agosto 530 y Ricaurte</t>
  </si>
  <si>
    <t>0959227706</t>
  </si>
  <si>
    <t>cristhernandezmieles@gmail.com</t>
  </si>
  <si>
    <t>Cristhian Hernandez Mieles</t>
  </si>
  <si>
    <t>1310252323</t>
  </si>
  <si>
    <t>1309128724001</t>
  </si>
  <si>
    <t>MENDOZA SANTOS MARIA VARYNIA</t>
  </si>
  <si>
    <t>GRUPO HOMESA HONORARIOS MEDICOS Y SERVICIOS ASOCIADOS</t>
  </si>
  <si>
    <t>MANABI / PORTOVIEJO / 18 DE OCTUBRE / AV. DEL PERIODISTA S/N Y AV. MANABI</t>
  </si>
  <si>
    <t>0988680789</t>
  </si>
  <si>
    <t>varynia_ms@hotmail.com</t>
  </si>
  <si>
    <t>MARIA VARYNIA MENDOZA SANTOS</t>
  </si>
  <si>
    <t>1,30913E+12</t>
  </si>
  <si>
    <t>1307625648001</t>
  </si>
  <si>
    <t>PUGA VELEZ JESSICA DOLORES</t>
  </si>
  <si>
    <t>Megadental</t>
  </si>
  <si>
    <t>Calle los amigos entre calle Leonel Cedeño y calle Rafael jarre el la ciudadela universitaria - Portoviejo</t>
  </si>
  <si>
    <t>0980939731</t>
  </si>
  <si>
    <t>jessicapuga77@hotmail.com</t>
  </si>
  <si>
    <t>Jessica Puga</t>
  </si>
  <si>
    <t>1307625648</t>
  </si>
  <si>
    <t>1312296823001</t>
  </si>
  <si>
    <t>CEDEÑO CHING ANDREA MONSERRATE</t>
  </si>
  <si>
    <t>CONSULTORIO DENTAL CECHING</t>
  </si>
  <si>
    <t>Avenida Reales Tamarindos entrando por el Galpón atrás de UNIMED EN CECHING</t>
  </si>
  <si>
    <t>0978724443</t>
  </si>
  <si>
    <t>andrea_ceching@hotmail.com</t>
  </si>
  <si>
    <t>ANDREA MONSERRATE CEDEÑO CHING</t>
  </si>
  <si>
    <t>1312296823</t>
  </si>
  <si>
    <t>1312321977001</t>
  </si>
  <si>
    <t>GINES PALMA ELIANA NATALY</t>
  </si>
  <si>
    <t>CONSULTORIO ESTÉTICO DENTAL DRA ELIANA GINES</t>
  </si>
  <si>
    <t>CALLE VENEZUELA S/N INTERSECCIÓN:CALLE TOMÁS LARREA 1 PICOAZA PORTOVIEJO A LOS LADOS DEL CEMENTERIO GENERAL DE PICOAZA</t>
  </si>
  <si>
    <t>0987212940</t>
  </si>
  <si>
    <t>elianaec2007@hotmail.com</t>
  </si>
  <si>
    <t>ELIANA NATALY GINES PALMA</t>
  </si>
  <si>
    <t>1312321977</t>
  </si>
  <si>
    <t>1312850090001</t>
  </si>
  <si>
    <t>PINARGOTE PARRAGA YUNIOR GERARDO</t>
  </si>
  <si>
    <t>Yumars Dent</t>
  </si>
  <si>
    <t>Av. América y reales tamarindo al lado de Servientrega</t>
  </si>
  <si>
    <t>0993716173</t>
  </si>
  <si>
    <t>junnior_19@live.com</t>
  </si>
  <si>
    <t>Yunior Gerardo Pinargote Parraga</t>
  </si>
  <si>
    <t>1312850090</t>
  </si>
  <si>
    <t>1312211061001</t>
  </si>
  <si>
    <t>MOLINA ZAMBRANO JOSE ALEJANDRO</t>
  </si>
  <si>
    <t>NOVASALUD</t>
  </si>
  <si>
    <t>AV MANABI Y P MOREIRA</t>
  </si>
  <si>
    <t>0996911105</t>
  </si>
  <si>
    <t>alejandromz1596@gmail.com</t>
  </si>
  <si>
    <t>JOSE ALEJANDRO MOLINA ZAMBRANO</t>
  </si>
  <si>
    <t>1312211061</t>
  </si>
  <si>
    <t>1391931492001</t>
  </si>
  <si>
    <t>VESO DERMATOLOGIA INTEGRAL CIA LTDA</t>
  </si>
  <si>
    <t>CONSULTORIO VESO DERMATOLOGIA</t>
  </si>
  <si>
    <t>MANABI / PORTOVIEJO / 18 DE OCTUBRE / AVENIDA REALES TAMARINDOS S/N Y ATANACIO SANTOS</t>
  </si>
  <si>
    <t>0996325798</t>
  </si>
  <si>
    <t>vesodermatologia@gmail.com</t>
  </si>
  <si>
    <t>MARIA VERONICA SOLIS BOWEN</t>
  </si>
  <si>
    <t>1310251184</t>
  </si>
  <si>
    <t>0916247349001</t>
  </si>
  <si>
    <t>ACOSTA ARELLANO ALEX ARNOLDO</t>
  </si>
  <si>
    <t>Consultorio odontologico AcoDentaL</t>
  </si>
  <si>
    <t>Avenida 25 de diciembre y malecon Arenales</t>
  </si>
  <si>
    <t>0986990657</t>
  </si>
  <si>
    <t>alacosta04@hotmail.com</t>
  </si>
  <si>
    <t>LISSETTE JULIETA MIRANDA TORRES</t>
  </si>
  <si>
    <t>1309167011</t>
  </si>
  <si>
    <t>1313806927001</t>
  </si>
  <si>
    <t>VERA TEJENA GEMA LILIBETH</t>
  </si>
  <si>
    <t>Centro veterinario Haustier</t>
  </si>
  <si>
    <t>Calle Vicente Macias y 4 de Mayo</t>
  </si>
  <si>
    <t>0997982866</t>
  </si>
  <si>
    <t>gelili1991@hotmail.com</t>
  </si>
  <si>
    <t>Gema Lilibeth Vera Tejena</t>
  </si>
  <si>
    <t>1313806927</t>
  </si>
  <si>
    <t>1308679511001</t>
  </si>
  <si>
    <t>CUZME PILLIGUA JESSENIA CAMILA</t>
  </si>
  <si>
    <t>Paradise Spa Beauty</t>
  </si>
  <si>
    <t>Calle Medardo Cevallos, Cdla Pompilio Galarza</t>
  </si>
  <si>
    <t>0990958156</t>
  </si>
  <si>
    <t>jesseniacamila@hotmail.com</t>
  </si>
  <si>
    <t>Jessenia Camila Cuzme Pilligua</t>
  </si>
  <si>
    <t>1308679511</t>
  </si>
  <si>
    <t>1312291907001</t>
  </si>
  <si>
    <t>RIVERA BAQUE STEFANIA CLARIBEL</t>
  </si>
  <si>
    <t>DRA STEFANIA RIVERA</t>
  </si>
  <si>
    <t>Av. 5 de Junio 0 y sin Calle Secundaria</t>
  </si>
  <si>
    <t>0985341265</t>
  </si>
  <si>
    <t>drastefaniar@gmail.com</t>
  </si>
  <si>
    <t>Stefania Claribel Rivera Baque</t>
  </si>
  <si>
    <t>1312291907</t>
  </si>
  <si>
    <t>1312298340001</t>
  </si>
  <si>
    <t>BERMELLO MOREIRA KAREN MADELAYNE</t>
  </si>
  <si>
    <t>BeneficDental</t>
  </si>
  <si>
    <t>Calle San eduardo y 26 de septiembre</t>
  </si>
  <si>
    <t>0981058042</t>
  </si>
  <si>
    <t>bkarenmadelayne@gmail.com</t>
  </si>
  <si>
    <t>Karen Madelayne Bermello Moreira</t>
  </si>
  <si>
    <t>1312298340</t>
  </si>
  <si>
    <t>1204937955001</t>
  </si>
  <si>
    <t>ESPINOZA ESPINOZA MARIA FERNANDA</t>
  </si>
  <si>
    <t>Balance</t>
  </si>
  <si>
    <t>Ciudadela municipal sector Miraflores calle Federico Bravo Basurto</t>
  </si>
  <si>
    <t>0995676062</t>
  </si>
  <si>
    <t>maferee1586@hotmail.com</t>
  </si>
  <si>
    <t>María Fernanda Espinoza Espinoza</t>
  </si>
  <si>
    <t>1204937955</t>
  </si>
  <si>
    <t>1350280325001</t>
  </si>
  <si>
    <t>MACIAS TUBAY MATHEO JOEL</t>
  </si>
  <si>
    <t>CENTRO TERAPEUTICO CAMINO A LA PAZ</t>
  </si>
  <si>
    <t>Kilómetro 12 vía Portoviejo Santa Ana</t>
  </si>
  <si>
    <t>0983513330</t>
  </si>
  <si>
    <t>matheotubay215@gmail.com</t>
  </si>
  <si>
    <t>1350280325</t>
  </si>
  <si>
    <t>0993261416001</t>
  </si>
  <si>
    <t>MEDIQUO CIA LTDA</t>
  </si>
  <si>
    <t>MEDIQUO</t>
  </si>
  <si>
    <t>AV GUAYAQUIL AL FINAL Y FRANCISCO PACHECO</t>
  </si>
  <si>
    <t>0980872177</t>
  </si>
  <si>
    <t>isabel.gigm@gmail.com</t>
  </si>
  <si>
    <t>GISELLA CARMEN GALATI PAZ</t>
  </si>
  <si>
    <t>914743216</t>
  </si>
  <si>
    <t>1391857896001</t>
  </si>
  <si>
    <t>MEDICAL SOLUTIONS ENTERPRISE PROVEEDORA DE SERVICIOS MEDICOS</t>
  </si>
  <si>
    <t>CENTRO MEDICO CARDIOVITAL</t>
  </si>
  <si>
    <t>AV REALES TAMARINDOS</t>
  </si>
  <si>
    <t>0996644385</t>
  </si>
  <si>
    <t>cardiovital.cardiocentro@gmail.com</t>
  </si>
  <si>
    <t>ANDREA BALDA ALCIVAR</t>
  </si>
  <si>
    <t>1308431723</t>
  </si>
  <si>
    <t>1391876092001</t>
  </si>
  <si>
    <t>SANTA MARIANITA AGRUPACION DE ELITE FUNERARIO AGRUPSTAMARIANITA SA</t>
  </si>
  <si>
    <t>SANTA MARIANITA FUNERARIA</t>
  </si>
  <si>
    <t>FRANCISCO PACHECO Y SUCRE</t>
  </si>
  <si>
    <t>0997441178</t>
  </si>
  <si>
    <t>mariani2050@hotmail.com</t>
  </si>
  <si>
    <t>ROSA OLGA BARDELLINI MUÑOZ</t>
  </si>
  <si>
    <t>1308568789</t>
  </si>
  <si>
    <t>1301764872001</t>
  </si>
  <si>
    <t>GONZALEZ GARCIA JULIO CESAR</t>
  </si>
  <si>
    <t>CONSULTORIO DR JULIO GONZALEZ</t>
  </si>
  <si>
    <t>CALLEJON ROBLES S/N Y AV. MANABI</t>
  </si>
  <si>
    <t>0983117025</t>
  </si>
  <si>
    <t>agonzalezmadera@gmail.com</t>
  </si>
  <si>
    <t>JULIO CESAR GONZALEZ GARCIA</t>
  </si>
  <si>
    <t>1301764872</t>
  </si>
  <si>
    <t>1312860503001</t>
  </si>
  <si>
    <t>PINARGOTE COBEÑA ANGELICA MARIA</t>
  </si>
  <si>
    <t>centro de tolerancia NIGH CLUB COPA CABANA</t>
  </si>
  <si>
    <t>Los lagos Crucita 25 de diciembre una calle antes del cementerio de los arenales</t>
  </si>
  <si>
    <t>0990596829</t>
  </si>
  <si>
    <t>yanezlauro@gmail.com</t>
  </si>
  <si>
    <t>ANGELICA MARIA PINARGOTE COBEÑA</t>
  </si>
  <si>
    <t>1312860503</t>
  </si>
  <si>
    <t>1308407558001</t>
  </si>
  <si>
    <t>CASTRO VELASQUEZ DAMIAN ENRIQUE</t>
  </si>
  <si>
    <t>LABORATORIO CLINICO DECALAB</t>
  </si>
  <si>
    <t>MORALES S/N Y 9 DE OCTUBRE Y PEDRO GUAL</t>
  </si>
  <si>
    <t>0984901685</t>
  </si>
  <si>
    <t>laboratorioclinicodecalab@gmail.com</t>
  </si>
  <si>
    <t>DAMIAN ENRIQUE CASTRO VELASQUEZ</t>
  </si>
  <si>
    <t>1308407558</t>
  </si>
  <si>
    <t>1360011160001</t>
  </si>
  <si>
    <t>BENEMERITO CUERPO DE BOMBEROS PORTOVIEJO CORONEL JOSE ANTONIO MARIA GARCIA PINOARGOTE BCBP</t>
  </si>
  <si>
    <t>CUERPO DE BOMBEROS COLON</t>
  </si>
  <si>
    <t>SIMON BOLIVAR Y CASTRO</t>
  </si>
  <si>
    <t>0960176367</t>
  </si>
  <si>
    <t>info@bomberosportoviejo.gob.ec</t>
  </si>
  <si>
    <t>MARCOS ANTONIO PARRAGA CEDEÑO</t>
  </si>
  <si>
    <t>1306720705</t>
  </si>
  <si>
    <t>CUERPO DE BOMBEROS PORTOVIEJO</t>
  </si>
  <si>
    <t>CORDOVA S/N Y RICAURTE</t>
  </si>
  <si>
    <t>1305236109001</t>
  </si>
  <si>
    <t>RODRIGUEZ MENDOZA MILTON FERNANDO</t>
  </si>
  <si>
    <t>CONSULTORIO MÉDICO</t>
  </si>
  <si>
    <t>MANABI / PORTOVIEJO / PORTOVIEJO / CHILE S/N Y COLON</t>
  </si>
  <si>
    <t>0999073088</t>
  </si>
  <si>
    <t>traumamanabi@hotmail.com</t>
  </si>
  <si>
    <t>MILTON FERNANDO RODRIGUEZ MENDOZA</t>
  </si>
  <si>
    <t>1305236109</t>
  </si>
  <si>
    <t>1310526577001</t>
  </si>
  <si>
    <t>ALAVA FORTI ANGELA MELISSA</t>
  </si>
  <si>
    <t>Consultorio Dental Odontology</t>
  </si>
  <si>
    <t>Avenida 5 de junio diagonal a la quinta D' Guillem Plaza alianza,local 10</t>
  </si>
  <si>
    <t>0939281266</t>
  </si>
  <si>
    <t>angelamel0189@gmail.com</t>
  </si>
  <si>
    <t>Angela Alava Forti</t>
  </si>
  <si>
    <t>1310526577</t>
  </si>
  <si>
    <t>1316359619001</t>
  </si>
  <si>
    <t>IBARRA PALMA JOSSELYN BETZABETH</t>
  </si>
  <si>
    <t>Dental Medic</t>
  </si>
  <si>
    <t>Cdla. El Maestro/ Calle 27 de Junio</t>
  </si>
  <si>
    <t>0939269735</t>
  </si>
  <si>
    <t>josselyn24ibarra@gmail.com</t>
  </si>
  <si>
    <t>Josselyn Betzabeth Ibarra Palmq</t>
  </si>
  <si>
    <t>1316359619</t>
  </si>
  <si>
    <t>1759046202001</t>
  </si>
  <si>
    <t>PRIETO GONZALEZ ROSMERY MARGARITA</t>
  </si>
  <si>
    <t>Centro médico regional de Portoviejo Manabí especialidades medicas e imagenologíabiobioCENTRO MEDICO REGIONAL PORTOVIEJO - MANABI IMAGENOLOGIA Y SALUD OCUPACIONAL</t>
  </si>
  <si>
    <t>MANABI / PORTOVIEJO / 18 DE OCTUBRE / AVENIDA MANABI S/N Y MANUEL PALOMEQUE</t>
  </si>
  <si>
    <t>0986642240</t>
  </si>
  <si>
    <t>rosmeryprieto123@gmail.com</t>
  </si>
  <si>
    <t>ROSMERY MARGARITA PRIETO GONZALEZ</t>
  </si>
  <si>
    <t>1759046202</t>
  </si>
  <si>
    <t>BioLab Laboratoiro de análisis clínico</t>
  </si>
  <si>
    <t>calle rocafuerte y eloy alfaro</t>
  </si>
  <si>
    <t>0987023597</t>
  </si>
  <si>
    <t>biolabportovijeo@hotmail.com</t>
  </si>
  <si>
    <t>Alex Aberto Bardellini Mera</t>
  </si>
  <si>
    <t>1312121724001</t>
  </si>
  <si>
    <t>VEGA INTRIAGO ALBERTO JOSE</t>
  </si>
  <si>
    <t>Centro Veterinario</t>
  </si>
  <si>
    <t>Calle 26 de Septiembre y los Nardos</t>
  </si>
  <si>
    <t>0989130511</t>
  </si>
  <si>
    <t>vega852009@hotmail.com</t>
  </si>
  <si>
    <t>Alberto Vega</t>
  </si>
  <si>
    <t>1312121724</t>
  </si>
  <si>
    <t>1302482359001</t>
  </si>
  <si>
    <t>MENDOZA BRAVO PAULITA ROSSINA</t>
  </si>
  <si>
    <t>Laboratorio clínico crisvem</t>
  </si>
  <si>
    <t>Av manabi y Río amazonas frente al serid</t>
  </si>
  <si>
    <t>0984885537</t>
  </si>
  <si>
    <t>paulita1158@hotmail.com</t>
  </si>
  <si>
    <t>Paulista Rossina Mendoza bravo</t>
  </si>
  <si>
    <t>1302482359</t>
  </si>
  <si>
    <t>1310608110001</t>
  </si>
  <si>
    <t>PONCE SOLORZANO ANTONIO BERNARDO</t>
  </si>
  <si>
    <t>MASTER BARBER Y ALTA PELUQUERIA</t>
  </si>
  <si>
    <t>MANABI / PORTOVIEJO / 12 DE MARZO / AV. UNIVERSITARIA S/N Y RAFAEL JARRE Y LOS AMIGOS</t>
  </si>
  <si>
    <t>0985114871</t>
  </si>
  <si>
    <t>antonioponcesolorzano@gmail.com</t>
  </si>
  <si>
    <t>ANTONIO BERNARDO PONCE SOLORZANO</t>
  </si>
  <si>
    <t>1310608110</t>
  </si>
  <si>
    <t>1391916221001</t>
  </si>
  <si>
    <t>IMPORTADORA Y DISTRIBUIDORA LOGAR S.A.</t>
  </si>
  <si>
    <t>CENTRO DE ESPECIALIDADES MEDICAS VITALPORT</t>
  </si>
  <si>
    <t>MANABI / PORTOVIEJO / 18 DE OCTUBRE / MORALES S/N Y 9 DE OCTUBRE</t>
  </si>
  <si>
    <t>0989007347</t>
  </si>
  <si>
    <t>franklinlopez197925@gmail.com</t>
  </si>
  <si>
    <t>FRANKLIN REINALDO LOPEZ SANTANA</t>
  </si>
  <si>
    <t>1391916221</t>
  </si>
  <si>
    <t>ACESS-2024-Z04-0212606</t>
  </si>
  <si>
    <t>1310625270001</t>
  </si>
  <si>
    <t>VELEZ CARRILLO JOSE GUILLERMO</t>
  </si>
  <si>
    <t>GV MEDICAL CENTER</t>
  </si>
  <si>
    <t>Calle diez de agosto y Francisco cuadros</t>
  </si>
  <si>
    <t>0996622329</t>
  </si>
  <si>
    <t>josevelezc-1990@hotmail.com</t>
  </si>
  <si>
    <t>Jose Guillermo Velez Carrillo</t>
  </si>
  <si>
    <t>1310625270</t>
  </si>
  <si>
    <t>1307653012001</t>
  </si>
  <si>
    <t>INTRIAGO RIVERA JOSE FIDENCIO</t>
  </si>
  <si>
    <t>ESTUDIO 54 BARBER SHOP</t>
  </si>
  <si>
    <t>TENNIS CLUB S/N Y AV. MANABI 1</t>
  </si>
  <si>
    <t>0992216687</t>
  </si>
  <si>
    <t>fatima19gar@gmail.com</t>
  </si>
  <si>
    <t>JOSE FIDENCIO INTRIAGO RIVERA</t>
  </si>
  <si>
    <t>1307653012</t>
  </si>
  <si>
    <t>1313255349001</t>
  </si>
  <si>
    <t>YEPEZ SALTOS ANA PRISCILA</t>
  </si>
  <si>
    <t>Reales Tamarindos entre Ramos YDuarte y América</t>
  </si>
  <si>
    <t>0996576160</t>
  </si>
  <si>
    <t>ani_pris@hotmail.com</t>
  </si>
  <si>
    <t>Priscila Yepez</t>
  </si>
  <si>
    <t>1313255349</t>
  </si>
  <si>
    <t>1302219066001</t>
  </si>
  <si>
    <t>LOOR RIVAS HOMERO ANTONIO</t>
  </si>
  <si>
    <t>DENTAL LOOR</t>
  </si>
  <si>
    <t>MANABI / PORTOVIEJO / 12 DE MARZO / CHILE S/N Y FRANCISCO DE P MOREIRA</t>
  </si>
  <si>
    <t>0959261596</t>
  </si>
  <si>
    <t>homeroloor123@gmail.com</t>
  </si>
  <si>
    <t>HOMERO ANTONIO LOOR RIVAS</t>
  </si>
  <si>
    <t>1302219066</t>
  </si>
  <si>
    <t>1311099210001</t>
  </si>
  <si>
    <t>MOSQUERA PINARGOTE GERALDINE ANDREA</t>
  </si>
  <si>
    <t>CENTRO ODONTOLOGICO FUNDACION EMMA COSMETIC 2</t>
  </si>
  <si>
    <t>AVENIDA DEL EJERCITO S/N Y ENTRADA A SAN ALEJO</t>
  </si>
  <si>
    <t>0996514131</t>
  </si>
  <si>
    <t>valeygeri@hotmail.com</t>
  </si>
  <si>
    <t>Geraldine Andrea Mosquera Pinargote</t>
  </si>
  <si>
    <t>1311099210</t>
  </si>
  <si>
    <t>1350437875001</t>
  </si>
  <si>
    <t>SOLORZANO SEGOVIA MARIA MICHELLE</t>
  </si>
  <si>
    <t>DENTAL PRESTIGE</t>
  </si>
  <si>
    <t>ROCAFUERTE 3 Y CALLEJON BENITEZ</t>
  </si>
  <si>
    <t>0980615361</t>
  </si>
  <si>
    <t>michellesolorzano1999@gmail.com</t>
  </si>
  <si>
    <t>MARIA MICHELLE SOLORZANO SEGOVIA</t>
  </si>
  <si>
    <t>1350437875</t>
  </si>
  <si>
    <t>1792150302001</t>
  </si>
  <si>
    <t>TRASDIAL S A</t>
  </si>
  <si>
    <t>R. IDUARTE S/N Y RICAURTE</t>
  </si>
  <si>
    <t>0985329378</t>
  </si>
  <si>
    <t>trasdialportoviejo@gmail.com</t>
  </si>
  <si>
    <t>GUSTAVO EMILIO SALVADOR DAVILA</t>
  </si>
  <si>
    <t>600790166</t>
  </si>
  <si>
    <t>1310791783001</t>
  </si>
  <si>
    <t>ZAMBRANO CHAVEZ MARIA EUGENIA</t>
  </si>
  <si>
    <t>Construyendo sonrisas</t>
  </si>
  <si>
    <t>Colon via a Santa Ana a lado de la planta Proman</t>
  </si>
  <si>
    <t>0968251089</t>
  </si>
  <si>
    <t>mariu421@hotmail.com</t>
  </si>
  <si>
    <t>Maria Eugenia Zambrano chavez</t>
  </si>
  <si>
    <t>1310791783</t>
  </si>
  <si>
    <t>1391916760001</t>
  </si>
  <si>
    <t>LORFAVE S.A.S.</t>
  </si>
  <si>
    <t>ANDRES VESALIO RADIOLOGIA ESPECIALIZADA</t>
  </si>
  <si>
    <t>AVENIDAD REALES TAMARINDO</t>
  </si>
  <si>
    <t>0984488057</t>
  </si>
  <si>
    <t>lorfave@gmail.com</t>
  </si>
  <si>
    <t>EXITA JANET VERA MURILLO</t>
  </si>
  <si>
    <t>1308701208</t>
  </si>
  <si>
    <t>DERMACENTER</t>
  </si>
  <si>
    <t>MANABI / PORTOVIEJO / 18 DE OCTUBRE / AV. MANABI S/N Y TENNIS CLUB</t>
  </si>
  <si>
    <t>0999583561</t>
  </si>
  <si>
    <t>GEOVANNA ELIZABETH GUTIERREZ MORENO</t>
  </si>
  <si>
    <t>1312696014001</t>
  </si>
  <si>
    <t>MORALES BARCIA CARLOS LUIS</t>
  </si>
  <si>
    <t>ESTUDIO DE SALUD ODONTOBUCAL</t>
  </si>
  <si>
    <t>Calle Nueva y Chile</t>
  </si>
  <si>
    <t>0987198106</t>
  </si>
  <si>
    <t>carlo_morale_@hotmail.com</t>
  </si>
  <si>
    <t>CARLOS LUIS MORALES BARCIA</t>
  </si>
  <si>
    <t>1312696014</t>
  </si>
  <si>
    <t>1304262064001</t>
  </si>
  <si>
    <t>DELGADO MOLINA BETTY MERCEDES</t>
  </si>
  <si>
    <t>CLINICA MORALES</t>
  </si>
  <si>
    <t>CORDOVA S/N Y 10 DE AGOSTO Y PEDRO GUAL</t>
  </si>
  <si>
    <t>0987064446</t>
  </si>
  <si>
    <t>bdelgado.labor@hotmail.com</t>
  </si>
  <si>
    <t>BETTY MERCEDES DELGADO MOLINA</t>
  </si>
  <si>
    <t>1304262064</t>
  </si>
  <si>
    <t>1312227034001</t>
  </si>
  <si>
    <t>SORNOZA HIDALGO EDGAR FABRICIO</t>
  </si>
  <si>
    <t>DENTAL ESTHETICS</t>
  </si>
  <si>
    <t>MANABI / PORTOVIEJO / PORTOVIEJO / AV 5 JUNIO Y TIBURCIO MACIAS V-0 Y CALLE 5 DE JUNIO</t>
  </si>
  <si>
    <t>0980009576</t>
  </si>
  <si>
    <t>od.edgarsornoza@hotmail.com</t>
  </si>
  <si>
    <t>EDGAR FABRICIO SORNOZA HIDALGO</t>
  </si>
  <si>
    <t>1312227034</t>
  </si>
  <si>
    <t>1309684775001</t>
  </si>
  <si>
    <t>MOREIRA ALCIVAR WAGNER ENRIQUE</t>
  </si>
  <si>
    <t>PELUQUERÍA UNISEX EL CHINO</t>
  </si>
  <si>
    <t>calle Olmedo y Quito alado de la cevichería Laurita</t>
  </si>
  <si>
    <t>0997476064</t>
  </si>
  <si>
    <t>moreiraalcivarwagnerenrique@gmail.com</t>
  </si>
  <si>
    <t>WAGNER ENRIQUE MOREIRA ALCIVAR</t>
  </si>
  <si>
    <t>1309684775</t>
  </si>
  <si>
    <t>1360000120001</t>
  </si>
  <si>
    <t>GOBIERNO AUTONOMO DESCENTRALIZADO PROVINCIAL DE MANABI</t>
  </si>
  <si>
    <t>PEDRO GUAL Y TEODORO WOLF-DIAGONAL AL TERMINAL TERRESTRE</t>
  </si>
  <si>
    <t>0981924001</t>
  </si>
  <si>
    <t>nfranco@manabi.gob.ec</t>
  </si>
  <si>
    <t>JOSE LEONARDO ORLANDO ARTEAGA</t>
  </si>
  <si>
    <t>1304308560</t>
  </si>
  <si>
    <t>1313009464001</t>
  </si>
  <si>
    <t>TATES VILLAMAR SANDRA JACQUELINE</t>
  </si>
  <si>
    <t>Royal Dental Center</t>
  </si>
  <si>
    <t>Calle Córdova entré 18 de octubre y Francisco Pacheco</t>
  </si>
  <si>
    <t>0990860935</t>
  </si>
  <si>
    <t>royaldental2021@gmail.com</t>
  </si>
  <si>
    <t>Sandra Jacqueline Tates Villamar</t>
  </si>
  <si>
    <t>1313009464</t>
  </si>
  <si>
    <t>1310939747001</t>
  </si>
  <si>
    <t>ORTIZ HERNANDEZ MARTHA ELIZABETH</t>
  </si>
  <si>
    <t>Martha Ortiz Hernández</t>
  </si>
  <si>
    <t>Ciudadela Universitaria frente al parque la rotonda calle Joaquín Ramírez mieles</t>
  </si>
  <si>
    <t>0989808831</t>
  </si>
  <si>
    <t>marthaeliza1989@hotmail.com</t>
  </si>
  <si>
    <t>Martha Elizabeth Ortiz Hernández</t>
  </si>
  <si>
    <t>1310939747</t>
  </si>
  <si>
    <t>1310983745001</t>
  </si>
  <si>
    <t>ORDOÑEZ RAMOS YENNY DEL CARMEN</t>
  </si>
  <si>
    <t>Consultorio Dental Nueva sonrisa</t>
  </si>
  <si>
    <t>MANABI / PORTOVIEJO / ANDRÉS DE VERA / MARIA AUXILIADORA S/N Y MARIA ISABEL</t>
  </si>
  <si>
    <t>0981019094</t>
  </si>
  <si>
    <t>yenna04@hotmail.es</t>
  </si>
  <si>
    <t>YENNY DEL CARMEN ORDOÑEZ RAMOS</t>
  </si>
  <si>
    <t>1310983745</t>
  </si>
  <si>
    <t>1312614595001</t>
  </si>
  <si>
    <t>VILLAVICENCIO MONTES BETSY ANDREINA</t>
  </si>
  <si>
    <t>JB empresa dental</t>
  </si>
  <si>
    <t>Av del ejército entre calle Brazil y españa</t>
  </si>
  <si>
    <t>0958931372</t>
  </si>
  <si>
    <t>betanvi_89@hotmail.com</t>
  </si>
  <si>
    <t>Betsy Villavicencio</t>
  </si>
  <si>
    <t>1312614595</t>
  </si>
  <si>
    <t>1309557617001</t>
  </si>
  <si>
    <t>VILLACRESES ARTEAGA ANDREA ANGELINA</t>
  </si>
  <si>
    <t>CONSULTORIO DENTAL ANDREA VILLACRESES</t>
  </si>
  <si>
    <t>KM 41/2 vía Portoviejo crucita</t>
  </si>
  <si>
    <t>0997638788</t>
  </si>
  <si>
    <t>dra.andreavillacreses@gmail.com</t>
  </si>
  <si>
    <t>ANDREA ANGELINA VILLACRESES ARTEAGA</t>
  </si>
  <si>
    <t>1309557617</t>
  </si>
  <si>
    <t>1307537355001</t>
  </si>
  <si>
    <t>CHANCAY CEVALLOS MARIA ISABEL</t>
  </si>
  <si>
    <t>CONSULTORIO ODONTOLOGICO DRA MARIA ISABEL CHANCAY CEVALLOS</t>
  </si>
  <si>
    <t>CALLE los amigos / Orlando Ponce miranda y av. universitaria</t>
  </si>
  <si>
    <t>0994768530</t>
  </si>
  <si>
    <t>marisachcu@hotmail.com</t>
  </si>
  <si>
    <t>MARIA ISABEL CHANCAY CEVALLOS</t>
  </si>
  <si>
    <t>1307537355</t>
  </si>
  <si>
    <t>1391766467001</t>
  </si>
  <si>
    <t>PLANTAIN REPUBLIC / REPUBLICA DEL PLATANO EXPORTPLANTAIN S.A.</t>
  </si>
  <si>
    <t>Plantain Republic SA</t>
  </si>
  <si>
    <t>Calle Vicente Amador Flor.</t>
  </si>
  <si>
    <t>0996129082</t>
  </si>
  <si>
    <t>medical@plantainrepublic.com</t>
  </si>
  <si>
    <t>Luis Villacreses</t>
  </si>
  <si>
    <t>1304336058</t>
  </si>
  <si>
    <t>SUIA-07-2019-MAE-CGZ4-DPAM-00078</t>
  </si>
  <si>
    <t>MAE-RA-2017-294000</t>
  </si>
  <si>
    <t>1715223838001</t>
  </si>
  <si>
    <t>VIVANCO PINARGOTE JORGE GEREMIAS</t>
  </si>
  <si>
    <t>SPA MUÑECAS</t>
  </si>
  <si>
    <t>AV. REALES TAMARINDOS Y CALLE ROTARIA</t>
  </si>
  <si>
    <t>0958613644</t>
  </si>
  <si>
    <t>jegor102@gmail.com</t>
  </si>
  <si>
    <t>JORGE GEREMIAS VIVANCO PINOARGOTE</t>
  </si>
  <si>
    <t>1715223838</t>
  </si>
  <si>
    <t>1391924380001</t>
  </si>
  <si>
    <t>AMELSAM MEDIC SA DE BENEFICIOS E INTERES COLECTIVO</t>
  </si>
  <si>
    <t>AMELSAM MEDIC</t>
  </si>
  <si>
    <t>Sitio los Arenales- Cdla Los Lauresles/Calle 73</t>
  </si>
  <si>
    <t>0988545142</t>
  </si>
  <si>
    <t>amelsam-medic@hotmail.com</t>
  </si>
  <si>
    <t>KARINA ELIZABETH BAILON FRANCO</t>
  </si>
  <si>
    <t>1311376378</t>
  </si>
  <si>
    <t>1306921600001</t>
  </si>
  <si>
    <t>BRIONES SOLORZANO KATIUSKA YELENAUSUS</t>
  </si>
  <si>
    <t>consultorio dental</t>
  </si>
  <si>
    <t>Avenida Reales Tamarindo a los lados del restaurante el montuvio</t>
  </si>
  <si>
    <t>0989404694</t>
  </si>
  <si>
    <t>kybriones@sangregorio.edu.ec</t>
  </si>
  <si>
    <t>Katiuska Briones Solorzano</t>
  </si>
  <si>
    <t>1306921600</t>
  </si>
  <si>
    <t>1308740255001</t>
  </si>
  <si>
    <t>MACIAS YEN CHONG YOHANA GEOMAR</t>
  </si>
  <si>
    <t>Consultorio Dental</t>
  </si>
  <si>
    <t>Calle 20 de Julio y Manuel Molina</t>
  </si>
  <si>
    <t>San Pablo</t>
  </si>
  <si>
    <t>0991517212</t>
  </si>
  <si>
    <t>yohamac19@hotmail.com</t>
  </si>
  <si>
    <t>Yohana Macias</t>
  </si>
  <si>
    <t>1308740255</t>
  </si>
  <si>
    <t>1768001860001</t>
  </si>
  <si>
    <t>BRIGADA DE CABALLERIA MECANIZADA NRO 3 MANABI</t>
  </si>
  <si>
    <t>DISPENSARIO MEDICO TIPO B NRO 3</t>
  </si>
  <si>
    <t>AV. DEL EJERCITO S/N Y AV. BOLIVARIANA</t>
  </si>
  <si>
    <t>0990941021</t>
  </si>
  <si>
    <t>dismed12tntehugoortiz@hotmail.es</t>
  </si>
  <si>
    <t>JOSE LUIS ANDRADE ROBALINO</t>
  </si>
  <si>
    <t>1704890910</t>
  </si>
  <si>
    <t>1756321590001</t>
  </si>
  <si>
    <t>VALERA VALERO CARLOS ALBERTO</t>
  </si>
  <si>
    <t>CONSULTORIO CLINICO FINLAY</t>
  </si>
  <si>
    <t>MANABI / PORTOVIEJO / PORTOVIEJO / ELOY ALFARO y ROCAFUERTE ref lateral al Verdi Cevallos</t>
  </si>
  <si>
    <t>0987522741</t>
  </si>
  <si>
    <t>cvaleravalero@yahoo.com</t>
  </si>
  <si>
    <t>CARLOS ALBERTO VALERA VALERO</t>
  </si>
  <si>
    <t>1756321590</t>
  </si>
  <si>
    <t>1309835930001</t>
  </si>
  <si>
    <t>BARRERA DOUMET FADIANA JAMILE</t>
  </si>
  <si>
    <t>Motel Eros</t>
  </si>
  <si>
    <t>Vía portoviejo manta</t>
  </si>
  <si>
    <t>0999773101</t>
  </si>
  <si>
    <t>aguakantarina@hotmail.com</t>
  </si>
  <si>
    <t>Fadiana Doumet</t>
  </si>
  <si>
    <t>1308086444</t>
  </si>
  <si>
    <t>1306652627001</t>
  </si>
  <si>
    <t>MADRID CASTRO PATRICIA PILAR</t>
  </si>
  <si>
    <t>Pedro Gual 255</t>
  </si>
  <si>
    <t>0964058171</t>
  </si>
  <si>
    <t>drapatriciamadridcastro@outlook.es</t>
  </si>
  <si>
    <t>Patricia PIlar Madrid Castro</t>
  </si>
  <si>
    <t>1306652627</t>
  </si>
  <si>
    <t>1305168328001</t>
  </si>
  <si>
    <t>MENENDEZ ROLDAN RAUL FERNANDO</t>
  </si>
  <si>
    <t>CALLE 15 DE ABRIL Y AV. URUGUAY</t>
  </si>
  <si>
    <t>0980421470</t>
  </si>
  <si>
    <t>dr.raulmenendez@hotmail.com</t>
  </si>
  <si>
    <t>RAUL FERNANDO MENENDEZ ROLDAN</t>
  </si>
  <si>
    <t>1305168328</t>
  </si>
  <si>
    <t>S/N</t>
  </si>
  <si>
    <t>MAE-DNPCA-2018-012039</t>
  </si>
  <si>
    <t>1308543501001</t>
  </si>
  <si>
    <t>VERA MOREIRA ALIPIO ARMANDO</t>
  </si>
  <si>
    <t>MANABI / PORTOVIEJO / 12 DE MARZO / ESPEJO S/N Y 9 DE OCTUBRE</t>
  </si>
  <si>
    <t>0969576886</t>
  </si>
  <si>
    <t>alipiovera@hotmail.com</t>
  </si>
  <si>
    <t>ALIPIO ARMANDO VERA MOREIRA</t>
  </si>
  <si>
    <t>1308543501</t>
  </si>
  <si>
    <t>1304003096001</t>
  </si>
  <si>
    <t>PARRAGA BERNAL JAIRO BERNABE</t>
  </si>
  <si>
    <t>DIAGNOSTICAR UNIDAD DE PATOLOGIA Y CITOLOGIA</t>
  </si>
  <si>
    <t>MANABI / PORTOVIEJO / 12 DE MARZO / 9 DE OCTUBRE SN Y JUAN MONTALVO Y ESPEJO</t>
  </si>
  <si>
    <t>0997006000</t>
  </si>
  <si>
    <t>jparber11@hotmail.com</t>
  </si>
  <si>
    <t>JAIRO BERNABE PARRAGA BERNAL</t>
  </si>
  <si>
    <t>1304003096</t>
  </si>
  <si>
    <t>ACESS-2024-Z04-0197543</t>
  </si>
  <si>
    <t>1309803607001</t>
  </si>
  <si>
    <t>AJILA BARREIRO DAMIAN ANTONIO</t>
  </si>
  <si>
    <t>MANACARE SALUD SA</t>
  </si>
  <si>
    <t>CDLA CALIFORNIA CALLE MONTECRISTI Y JORGE WASHINGTON</t>
  </si>
  <si>
    <t>0980116155</t>
  </si>
  <si>
    <t>manacaresaludportoviejo@gmail.com</t>
  </si>
  <si>
    <t>DAMIAN ANTONIO AJILA BARREIRO</t>
  </si>
  <si>
    <t>1309803607</t>
  </si>
  <si>
    <t>1391934024001</t>
  </si>
  <si>
    <t>SOCIEDAD CIVIL DE HECHO NUEVO PORTOMED</t>
  </si>
  <si>
    <t>PORTOMED</t>
  </si>
  <si>
    <t>AV. 5 DE JUNIO Y CJ. LL</t>
  </si>
  <si>
    <t>0998738989</t>
  </si>
  <si>
    <t>nuevoportomedcie@gmail.com</t>
  </si>
  <si>
    <t>JOSE DANIEL MACIAS ZAMBRANO</t>
  </si>
  <si>
    <t>1310776560</t>
  </si>
  <si>
    <t>1391936533001</t>
  </si>
  <si>
    <t>VELPAL-AM S.A.S. B.I.C.</t>
  </si>
  <si>
    <t>AMBULANCIA DE SOPORTE VITAL AVANZADO TERRESTRE</t>
  </si>
  <si>
    <t>MANABI / PORTOVIEJO / PORTOVIEJO / ATANACIO SANTOS Y SN</t>
  </si>
  <si>
    <t>0993358585</t>
  </si>
  <si>
    <t>velpal2024@gmail.com</t>
  </si>
  <si>
    <t>RUBY ALEXANDRA VELEZ ARAY</t>
  </si>
  <si>
    <t>1310390644</t>
  </si>
  <si>
    <t>1312705419001</t>
  </si>
  <si>
    <t>BERMELLO VELASQUEZ CARLOS KENDRU</t>
  </si>
  <si>
    <t>TATUAJES INK ESTATION</t>
  </si>
  <si>
    <t>Avenida del periodista</t>
  </si>
  <si>
    <t>0963142305</t>
  </si>
  <si>
    <t>kendrubermell95@gmail.com</t>
  </si>
  <si>
    <t>Carlos kendru Bermello velasquez</t>
  </si>
  <si>
    <t>1312705419</t>
  </si>
  <si>
    <t>1309016945001</t>
  </si>
  <si>
    <t>PANCHANA CASANOVA MARIA VERONICA</t>
  </si>
  <si>
    <t>Centro Medico María Grazzia</t>
  </si>
  <si>
    <t>Calle Johon F. Kennedy y Cristo del Consuelo</t>
  </si>
  <si>
    <t>0980837441</t>
  </si>
  <si>
    <t>draveronicapanchana@hotmail.com</t>
  </si>
  <si>
    <t>Maria Veronica Panchana Casanova</t>
  </si>
  <si>
    <t>1309016945</t>
  </si>
  <si>
    <t>1307763233001</t>
  </si>
  <si>
    <t>FARFAN PICO NILO ANTONIO</t>
  </si>
  <si>
    <t>Consultorio Medico Dr Nilo Fsrfan</t>
  </si>
  <si>
    <t>Las Orquideas primera Etapa- Guadalupe larriba y ariosto Andrade</t>
  </si>
  <si>
    <t>0980709711</t>
  </si>
  <si>
    <t>cristymacias_@hotmail.com</t>
  </si>
  <si>
    <t>Nilo Farfan Pico</t>
  </si>
  <si>
    <t>1307763233</t>
  </si>
  <si>
    <t>1311105140001</t>
  </si>
  <si>
    <t>SABANDO INTRIAGO HELEN JAMILEX</t>
  </si>
  <si>
    <t>Labormed</t>
  </si>
  <si>
    <t>Entre Calle Portoviejo y 25 de mayo a lado de la iglesia Virgen de Guadalupe</t>
  </si>
  <si>
    <t>0960159900</t>
  </si>
  <si>
    <t>labormedlm@gmail.com</t>
  </si>
  <si>
    <t>Hellen Jamilex Sabando Intriago</t>
  </si>
  <si>
    <t>1311105140</t>
  </si>
  <si>
    <t>1350032197001</t>
  </si>
  <si>
    <t>CEDEÑO CEDEÑO LADY LIZ</t>
  </si>
  <si>
    <t>DUALDENT</t>
  </si>
  <si>
    <t>AV. ROCAFUERTE Y ELOY ALFARO - PLAZA SANTA CRUZ</t>
  </si>
  <si>
    <t>0996919931</t>
  </si>
  <si>
    <t>leidycede@outlook.com</t>
  </si>
  <si>
    <t>LADY LIZ CEDEÑO CEDEÑO</t>
  </si>
  <si>
    <t>1350032197</t>
  </si>
  <si>
    <t>1314933506001</t>
  </si>
  <si>
    <t>PORTILLA ALAVA CARLOS HUMBERTO</t>
  </si>
  <si>
    <t>Dental PorCh</t>
  </si>
  <si>
    <t>Ciudadela los Jazmines calle principal diagonal a la caseta del guardia Manzana B Villa 58</t>
  </si>
  <si>
    <t>0980037469</t>
  </si>
  <si>
    <t>dentalporch2020@outlook.com</t>
  </si>
  <si>
    <t>Carlos Humberto Portilla Alava</t>
  </si>
  <si>
    <t>1314933506</t>
  </si>
  <si>
    <t>1309167011001</t>
  </si>
  <si>
    <t>MIRANDA TORRES LISSETTE JULIETA</t>
  </si>
  <si>
    <t>Consulrorio dental Acodental</t>
  </si>
  <si>
    <t>Avenida america y gabriela mistral</t>
  </si>
  <si>
    <t>Alex Arnoldo Acosta Arellano</t>
  </si>
  <si>
    <t>916247349</t>
  </si>
  <si>
    <t>1308725470001</t>
  </si>
  <si>
    <t>GARCIA ALVARADO DAVID GABRIEL</t>
  </si>
  <si>
    <t>Centro radiológico dental D G</t>
  </si>
  <si>
    <t>Ciudadela california 0 si calle calle al frente de la universidad san Gregorio ( locales comerciales)</t>
  </si>
  <si>
    <t>0967031369</t>
  </si>
  <si>
    <t>davidG005@hotmail.com</t>
  </si>
  <si>
    <t>Garcia alvarado David Garcia</t>
  </si>
  <si>
    <t>1308725470</t>
  </si>
  <si>
    <t>1391820372001</t>
  </si>
  <si>
    <t>CENTRO DE INV. Y TRATAMIENTO DE ENFERMEDADES INFECCIOSAS E INFLAMATORIAS CRONICAS CITEIC CIA. LTDA.</t>
  </si>
  <si>
    <t>CITEIC</t>
  </si>
  <si>
    <t>CALLEJON VIRGILIO NAVARRETE Y AVENIDA 5 DE JUNIO</t>
  </si>
  <si>
    <t>0981052489</t>
  </si>
  <si>
    <t>citeic@yahoo.es</t>
  </si>
  <si>
    <t>PATRICIO RAMIREZ SABANDO</t>
  </si>
  <si>
    <t>1308819927</t>
  </si>
  <si>
    <t>1308304474001</t>
  </si>
  <si>
    <t>GALLARDO ARMIJOS DIANA INES</t>
  </si>
  <si>
    <t>Unidad de Diagnóstico Veterinario</t>
  </si>
  <si>
    <t>A. Paulo Emilio Macias y calle Orlando Ponce</t>
  </si>
  <si>
    <t>0979318026</t>
  </si>
  <si>
    <t>univetdiagnostic@gmail.com</t>
  </si>
  <si>
    <t>Diana Gallardo</t>
  </si>
  <si>
    <t>1308304474</t>
  </si>
  <si>
    <t>1312869165001</t>
  </si>
  <si>
    <t>MERA DELGADO GLORIA ESTEFANIA</t>
  </si>
  <si>
    <t>Clínica Dental GEMDENTAL</t>
  </si>
  <si>
    <t>Ciudadela Municipal calle Federico Bravo</t>
  </si>
  <si>
    <t>0962796361</t>
  </si>
  <si>
    <t>gloestemeradelgado@hotmail.com</t>
  </si>
  <si>
    <t>Gloria Mera Delgado</t>
  </si>
  <si>
    <t>1312869165</t>
  </si>
  <si>
    <t>1391751753001</t>
  </si>
  <si>
    <t>FUNDACION EL BUEN SAMARITANO</t>
  </si>
  <si>
    <t>OSWALDO MOREIRA Y 10 DE AGOSTO florón 5</t>
  </si>
  <si>
    <t>0968753638</t>
  </si>
  <si>
    <t>elianagar82@gmail.com</t>
  </si>
  <si>
    <t>JORGE FABRICIO MENDOZA MERO</t>
  </si>
  <si>
    <t>1310253602</t>
  </si>
  <si>
    <t>1312562950001</t>
  </si>
  <si>
    <t>VELEZ SILVA VICENTA NAZAELA</t>
  </si>
  <si>
    <t>CONSULTORIO DENTAL DRA NAZAELA VELEZ SILVA</t>
  </si>
  <si>
    <t>km 1/2 vía Crucita Ciudadela San Marcos R parada de bus</t>
  </si>
  <si>
    <t>0996665623</t>
  </si>
  <si>
    <t>VICENTA NAZAELA VELEZ SILVA</t>
  </si>
  <si>
    <t>1312562950</t>
  </si>
  <si>
    <t>1308678299001</t>
  </si>
  <si>
    <t>BARCIA MIRANDA JOSE EDUARDO</t>
  </si>
  <si>
    <t>Consultorio dental odontofamily</t>
  </si>
  <si>
    <t>Av.Reales Tamarindos y Tennis club(frente al hostal reales tamarindos)</t>
  </si>
  <si>
    <t>0998419924</t>
  </si>
  <si>
    <t>jbarcia26@hotmail.com</t>
  </si>
  <si>
    <t>José Eduardo Barcia Miranda</t>
  </si>
  <si>
    <t>1308678299</t>
  </si>
  <si>
    <t>1309549317001</t>
  </si>
  <si>
    <t>DELGADO MANTUANO YANDRY ALEXANDER</t>
  </si>
  <si>
    <t>CONSULTORIO MEDICO DR ALEXANDER DELGADO</t>
  </si>
  <si>
    <t>MANABI / PORTOVIEJO / FRANCISCO PACHECO / BAQUERIZO MORENO 704 Y AV. GUAYAQUIL</t>
  </si>
  <si>
    <t>0969367592</t>
  </si>
  <si>
    <t>dryandrydelgado@gmail.com</t>
  </si>
  <si>
    <t>YANDRY ALEXANDER DELGADO MANTUANO</t>
  </si>
  <si>
    <t>1309549317</t>
  </si>
  <si>
    <t>1310079866001</t>
  </si>
  <si>
    <t>ESPINEL GRANIZO ANA LUCIA</t>
  </si>
  <si>
    <t>Ana Lucía Espinel Granizo</t>
  </si>
  <si>
    <t>Calle Víctor Vélez, en la Urbanización San Luis casa #47, diagonal al restaurante Las Hamacas</t>
  </si>
  <si>
    <t>0992851521</t>
  </si>
  <si>
    <t>anitaespinelg@gmail.com</t>
  </si>
  <si>
    <t>Ana Lucia Espinel Granizo</t>
  </si>
  <si>
    <t>1310079866</t>
  </si>
  <si>
    <t>1311475105001</t>
  </si>
  <si>
    <t>MENDOZA GARCIA SASKIA JOSEFA</t>
  </si>
  <si>
    <t>Saskia Josefa Mendoza Garcia</t>
  </si>
  <si>
    <t>Calle Rotaria y Avenida Reales Tamarindos - Centro Médico Ceibos</t>
  </si>
  <si>
    <t>0992732480</t>
  </si>
  <si>
    <t>saskia.mendoza@hotmail.com</t>
  </si>
  <si>
    <t>1311475105</t>
  </si>
  <si>
    <t>1304519919001</t>
  </si>
  <si>
    <t>PLUA HERNANDEZ GINO FABIAN</t>
  </si>
  <si>
    <t>DENTALPLU</t>
  </si>
  <si>
    <t>ESPEJO Y 10 DE AGOSTO</t>
  </si>
  <si>
    <t>0994874343</t>
  </si>
  <si>
    <t>ginoplua@yahoo.com</t>
  </si>
  <si>
    <t>GINO FABIAN PLUA HERNANDEZ</t>
  </si>
  <si>
    <t>1304519919</t>
  </si>
  <si>
    <t>ACODENTAL</t>
  </si>
  <si>
    <t>Avenida 5 de junio y calle jipijapa, plaza papagayo</t>
  </si>
  <si>
    <t>Alex arnoldo Acosta arellano</t>
  </si>
  <si>
    <t>SPA BROW LASH</t>
  </si>
  <si>
    <t>Av América frente a cooperativa de ahorro y crédito de la policía nacional.. (alado del edificio Nayesska)</t>
  </si>
  <si>
    <t>0982738992</t>
  </si>
  <si>
    <t>1312774522001</t>
  </si>
  <si>
    <t>PAREDES VASQUEZ NATHALY LILIANA</t>
  </si>
  <si>
    <t>INNOVADENT</t>
  </si>
  <si>
    <t>Quito SN y García Moreno</t>
  </si>
  <si>
    <t>0996427802</t>
  </si>
  <si>
    <t>nataly-p16@hotmail.com</t>
  </si>
  <si>
    <t>Nathaly Liliana Paredes Vasquez</t>
  </si>
  <si>
    <t>1312774522</t>
  </si>
  <si>
    <t>1305056622001</t>
  </si>
  <si>
    <t>SANCHEZ VELEZ MARIA ELENA</t>
  </si>
  <si>
    <t>Laboratorio Clínico CEDIN LAB</t>
  </si>
  <si>
    <t>Francisco de p Moreira y rocafuerte un costado del colegio Puerto viejo</t>
  </si>
  <si>
    <t>0987308044</t>
  </si>
  <si>
    <t>maesavel7@hotmail.com</t>
  </si>
  <si>
    <t>María Elena Sánchez Vélez</t>
  </si>
  <si>
    <t>1305056622</t>
  </si>
  <si>
    <t>1303176323001</t>
  </si>
  <si>
    <t>PONCE POSLIGUA ALAIN HERMENEGILDO</t>
  </si>
  <si>
    <t>CENTRO DE TOLERANCIA EL REFÚGIO</t>
  </si>
  <si>
    <t>PICOAZA/MEJIA</t>
  </si>
  <si>
    <t>0967712285</t>
  </si>
  <si>
    <t>alainponce843@gmail.com</t>
  </si>
  <si>
    <t>ALAIN HERMENEGILDO PONCE POSLIGUA</t>
  </si>
  <si>
    <t>1303176323</t>
  </si>
  <si>
    <t>1313147439001</t>
  </si>
  <si>
    <t>CHAVEZ VERA MARIA GABRIELA</t>
  </si>
  <si>
    <t>CONSULTORIO DENTAL DRA MARIA CHAVEZ</t>
  </si>
  <si>
    <t>MANABI / PORTOVIEJO / ANDRÉS DE VERA / JORGE WASHINTONG S/N Y NOVENA TRANSVERSAL</t>
  </si>
  <si>
    <t>0981653567</t>
  </si>
  <si>
    <t>gabrielachavez10@hotmail.com</t>
  </si>
  <si>
    <t>MARIA GABRIELA CHAVEZ VERA</t>
  </si>
  <si>
    <t>1313147439</t>
  </si>
  <si>
    <t>1312861618001</t>
  </si>
  <si>
    <t>PICO POVEDA MILDRED VALERIA</t>
  </si>
  <si>
    <t>RADIOLOGY IMAGING ECOGRAFIAS</t>
  </si>
  <si>
    <t>CALLE 26 DE SEPTIEMBRE - CDLA SAN FRANCISCO</t>
  </si>
  <si>
    <t>0985738763</t>
  </si>
  <si>
    <t>radiologyimaging288@gmail.com</t>
  </si>
  <si>
    <t>MILDRED VALERIA PICO POVEDA</t>
  </si>
  <si>
    <t>1312861618</t>
  </si>
  <si>
    <t>1303875890001</t>
  </si>
  <si>
    <t>ZAMBRANO ZAMBRANO ROBERTH WILLIANS</t>
  </si>
  <si>
    <t>CENTRO DE TOLERANCIA EL RETIRO</t>
  </si>
  <si>
    <t>COLÓN / PROLONGACION SIMON BOLIVAR</t>
  </si>
  <si>
    <t>0997950403</t>
  </si>
  <si>
    <t>wzambrano2021@gmail.com</t>
  </si>
  <si>
    <t>ROBERTH WILLIANS ZAMBRANO ZAMBRANO</t>
  </si>
  <si>
    <t>1303875890</t>
  </si>
  <si>
    <t>1308310307001</t>
  </si>
  <si>
    <t>VELEZ BERMEO VIVIANA VANESSA</t>
  </si>
  <si>
    <t>OdontoValle</t>
  </si>
  <si>
    <t>Ciudadela Parque Foresta. Calle San Cayetano y Salvador Guerrero</t>
  </si>
  <si>
    <t>0969633188</t>
  </si>
  <si>
    <t>vivivelezb@gmail.com</t>
  </si>
  <si>
    <t>Viviana Vélez</t>
  </si>
  <si>
    <t>1308310307</t>
  </si>
  <si>
    <t>1308202876001</t>
  </si>
  <si>
    <t>CASTILLO ANTON ALEX FABRICIO</t>
  </si>
  <si>
    <t>LABORATORIO CLINICO CASTILLO</t>
  </si>
  <si>
    <t>0991774540</t>
  </si>
  <si>
    <t>alexfabriciocastillo@hotmail.com</t>
  </si>
  <si>
    <t>ALEX FABRICIO CASTILLO ANTON</t>
  </si>
  <si>
    <t>1308202876</t>
  </si>
  <si>
    <t>1391932990001</t>
  </si>
  <si>
    <t>MEDIC SALUD 4 ESQUINAS MS4E SAS</t>
  </si>
  <si>
    <t>4 Esquinas calle 21 de Noviembre</t>
  </si>
  <si>
    <t>0996406650</t>
  </si>
  <si>
    <t>ailis972011@hotmail.com1311762676001</t>
  </si>
  <si>
    <t>MARIA ALEXANDRA CEDEÑO TUAREZ</t>
  </si>
  <si>
    <t>1315582997</t>
  </si>
  <si>
    <t>1313636589001</t>
  </si>
  <si>
    <t>VIVERO MENDOZA WILLIAM ANDRES</t>
  </si>
  <si>
    <t>OLYMPUS PETS CENTER</t>
  </si>
  <si>
    <t>5 DE JUNIO 34 Y CALLE ATAHUALPA</t>
  </si>
  <si>
    <t>0996630797</t>
  </si>
  <si>
    <t>williamviveromendoza@gmail.com</t>
  </si>
  <si>
    <t>WILLIAM ANDRES VIVERO MENDOZA</t>
  </si>
  <si>
    <t>1313636589</t>
  </si>
  <si>
    <t>1307543759001</t>
  </si>
  <si>
    <t>VELEZ RIVERA ERWIN JOSE</t>
  </si>
  <si>
    <t>CENTRO DE TOLERANCIA LAS CHACRAS RIOCHICO</t>
  </si>
  <si>
    <t>MANABI / PORTOVIEJO / RIOCHICO (RIO CHICO) / BOLIVAR S/N</t>
  </si>
  <si>
    <t>0980882323</t>
  </si>
  <si>
    <t>ejvr1972@gmail.com</t>
  </si>
  <si>
    <t>ERWIN JOSE VELEZ RIVERA</t>
  </si>
  <si>
    <t>1307543759</t>
  </si>
  <si>
    <t>1308284908001</t>
  </si>
  <si>
    <t>LOOR CEVALLOS DIXI MELISSA</t>
  </si>
  <si>
    <t>MOTEL LAS PALMAS</t>
  </si>
  <si>
    <t>MANABI / PORTOVIEJO / PICOAZA / PASO LATERAL MANABI GUILLEN S/N</t>
  </si>
  <si>
    <t>0993009301</t>
  </si>
  <si>
    <t>diceme@live.com</t>
  </si>
  <si>
    <t>DIXI MELISSA LOOR CEVALLOS</t>
  </si>
  <si>
    <t>1308284908</t>
  </si>
  <si>
    <t>0924321789001</t>
  </si>
  <si>
    <t>PISCO BENALCAZAR VANESSA DE JESUS</t>
  </si>
  <si>
    <t>VaneMae Dental Portoviejo</t>
  </si>
  <si>
    <t>Av.5 de junio C.C Plaza Alianza local 4</t>
  </si>
  <si>
    <t>0992223983</t>
  </si>
  <si>
    <t>vane_piscomae@hotmail.com</t>
  </si>
  <si>
    <t>Vanessa Pisco Benalcazar</t>
  </si>
  <si>
    <t>924321789</t>
  </si>
  <si>
    <t>1709833097001</t>
  </si>
  <si>
    <t>PULLAS URIBE MILTON IVAN</t>
  </si>
  <si>
    <t>MOTEL PASIÓN</t>
  </si>
  <si>
    <t>Via portoviejo Manta</t>
  </si>
  <si>
    <t>0959981851</t>
  </si>
  <si>
    <t>ramongarciagarcia1972@gmail.com</t>
  </si>
  <si>
    <t>MILTON IVAN PULLAS URIBE</t>
  </si>
  <si>
    <t>1709833097</t>
  </si>
  <si>
    <t>0911046886001</t>
  </si>
  <si>
    <t>ALVARADO JAIME FELIX EDUARDO</t>
  </si>
  <si>
    <t>CONSULTORIO Dr Félix Alvarado Jaime GinecoObstetra</t>
  </si>
  <si>
    <t>Callejón Robles entre Pedro Zambrano Izaguirre y Av Reales Tamarindos</t>
  </si>
  <si>
    <t>0991899470</t>
  </si>
  <si>
    <t>drfelix1967@hotmail.com</t>
  </si>
  <si>
    <t>Félix Eduardo Alvarado Jaime</t>
  </si>
  <si>
    <t>911046886</t>
  </si>
  <si>
    <t>1304301045001</t>
  </si>
  <si>
    <t>GUILLEN VELASQUEZ MARIA LEONOR</t>
  </si>
  <si>
    <t>TORRE SAN ANTONIO CONSULTORIO ODONTOLÓGICO DRA MARIA GUILLENOMNI DENTALOMNI DENTALo</t>
  </si>
  <si>
    <t>0999426389</t>
  </si>
  <si>
    <t>maleoguillem@hotmail.com</t>
  </si>
  <si>
    <t>MARIA LEONOR GUILLEN VELASQUEZ</t>
  </si>
  <si>
    <t>1304301045</t>
  </si>
  <si>
    <t>ACESS-2024-Z04-0218506</t>
  </si>
  <si>
    <t>1391751478001</t>
  </si>
  <si>
    <t>PARROQUIA ESCLESIASTICA JESUS EL BUEN PASTOR</t>
  </si>
  <si>
    <t>Centro de Especialidades Jesús El Buen Pastor</t>
  </si>
  <si>
    <t>Av. Universitaria, entre Alajuela y Ramos Iduarte. Iglesia Catedral</t>
  </si>
  <si>
    <t>0989770321</t>
  </si>
  <si>
    <t>leandrameza_emy19@hotmail.com</t>
  </si>
  <si>
    <t>José Eugenio Morales Ureta</t>
  </si>
  <si>
    <t>1309140125</t>
  </si>
  <si>
    <t>1312234634001</t>
  </si>
  <si>
    <t>TORO MOREIRA KARLA TATIANA</t>
  </si>
  <si>
    <t>TORO ESTUDIO DENTAL</t>
  </si>
  <si>
    <t>CALLE ROBLES Y PEDRO ZAMBRANO. TORRE MÉDICA SAN ANTONIO</t>
  </si>
  <si>
    <t>0994415745</t>
  </si>
  <si>
    <t>dra.karlatoro@gmail.com</t>
  </si>
  <si>
    <t>KARLA TORO MOREIRA</t>
  </si>
  <si>
    <t>1312234634</t>
  </si>
  <si>
    <t>1721215380001</t>
  </si>
  <si>
    <t>BRASERO ORDOÑEZ GENESIS THALIA</t>
  </si>
  <si>
    <t>DENTHALIA CONSULTORIO ODONTOLOGICO</t>
  </si>
  <si>
    <t>VIA PRINCIPAL LOS ARENALES OFICINA 2 Y FRENTE A LA IGLESIA VIRGEN DE GUADALUPE</t>
  </si>
  <si>
    <t>0982860487</t>
  </si>
  <si>
    <t>braserothalia@gmail.com</t>
  </si>
  <si>
    <t>GENESIS THALIA BRASERO ORDOÑEZ</t>
  </si>
  <si>
    <t>1721215380</t>
  </si>
  <si>
    <t>1315953305001</t>
  </si>
  <si>
    <t>MENDOZA VELEZ GRACE MONSERRATE</t>
  </si>
  <si>
    <t>CONSULTORIO MEDICO DRA GRACE</t>
  </si>
  <si>
    <t>MANABI / PORTOVIEJO / CRUCITA / 25 DE DICIEMBRE 1 Y MARIANA DE JESUS</t>
  </si>
  <si>
    <t>0994311295</t>
  </si>
  <si>
    <t>monse_w8911@hotmail.com</t>
  </si>
  <si>
    <t>GRACE MONSERRATE MENDOZA VELEZ</t>
  </si>
  <si>
    <t>1315953305</t>
  </si>
  <si>
    <t>0100761683001</t>
  </si>
  <si>
    <t>TORRES ESPINOZA EUGENIO CAMILO</t>
  </si>
  <si>
    <t>CONSULTORIO DR EUGENIO</t>
  </si>
  <si>
    <t>MANABI / PORTOVIEJO / CRUCITA / 25 DE DICIEMBRE S/N Y PRINCIPAL</t>
  </si>
  <si>
    <t>0999136639</t>
  </si>
  <si>
    <t>eugenitor.49@gmail.com</t>
  </si>
  <si>
    <t>EUGENIO CAMILO TORRES ESPINOZA</t>
  </si>
  <si>
    <t>100761683</t>
  </si>
  <si>
    <t>1312299058001</t>
  </si>
  <si>
    <t>MUÑOZ RODRIGUEZ CRISTIAN FABIAN</t>
  </si>
  <si>
    <t>LABORATORIO CLINICO FALAB</t>
  </si>
  <si>
    <t>MANABI / PORTOVIEJO / CRUCITA / CALLE PRINCIPAL LOS ARENALES S/N Y SN</t>
  </si>
  <si>
    <t>0992451021</t>
  </si>
  <si>
    <t>crismunozr88@hotmail.com</t>
  </si>
  <si>
    <t>CRISTIAN FABIAN MUÑOZ RODRIGUEZ</t>
  </si>
  <si>
    <t>1312299058</t>
  </si>
  <si>
    <t>1309315057001</t>
  </si>
  <si>
    <t>PARRAGA MERA JHON JAMPIER</t>
  </si>
  <si>
    <t>CONSULTORIO MEDICO DR PARRAGA</t>
  </si>
  <si>
    <t>MANABI / PORTOVIEJO / ABDON CALDERON (SAN FRANCISCO) / AV. ELOY ALFARO S/N</t>
  </si>
  <si>
    <t>0990896540</t>
  </si>
  <si>
    <t>jampierparraga@hotmail.com</t>
  </si>
  <si>
    <t>JHON JAMPIER PARRAGA MERA</t>
  </si>
  <si>
    <t>1309315057</t>
  </si>
  <si>
    <t>1312619354001</t>
  </si>
  <si>
    <t>GARCIA GARCIA MELIDA MICHELLE</t>
  </si>
  <si>
    <t>CONSULTORIO DENTAL DRA GARCÍA</t>
  </si>
  <si>
    <t>MANABI / PORTOVIEJO / ABDON CALDERON (SAN FRANCISCO) / ELOY ALFARO S/N Y RAFAEL MA MENDOZA</t>
  </si>
  <si>
    <t>0959745055</t>
  </si>
  <si>
    <t>melidamichelle020388mmgg@hotmail.com</t>
  </si>
  <si>
    <t>MELIDA MICHELLE GARCIA GARCIA</t>
  </si>
  <si>
    <t>1312619354</t>
  </si>
  <si>
    <t>1311326613001</t>
  </si>
  <si>
    <t>NEGRETE PICO CHRISTIAN SANTIAGO</t>
  </si>
  <si>
    <t>CONSULTORIO DR SANTIAGO NEGRETE</t>
  </si>
  <si>
    <t>MANABI / PORTOVIEJO / ABDON CALDERON (SAN FRANCISCO) / AV. ELOY ALFARO S/N Y RAFAEL MENDOZA Y RICAURTE</t>
  </si>
  <si>
    <t>0967206642</t>
  </si>
  <si>
    <t>dr.santiagonegrete@hotmail.com</t>
  </si>
  <si>
    <t>CHRISTIAN SANTIAGO NEGRETE PICO</t>
  </si>
  <si>
    <t>1311326613</t>
  </si>
  <si>
    <t>1310396898001</t>
  </si>
  <si>
    <t>VALDIVIESO SORNOZA SILVIA VICENTA</t>
  </si>
  <si>
    <t>CENTRO ODONTOLÓGICO SILVIA VALDIVIESO</t>
  </si>
  <si>
    <t>MANABI / PORTOVIEJO / ABDON CALDERON (SAN FRANCISCO) / SANTA RITHA S/N Y AVENIDAD ELOY ALFARO</t>
  </si>
  <si>
    <t>0967855777</t>
  </si>
  <si>
    <t>kesil220@gmail.com</t>
  </si>
  <si>
    <t>SILVIA VICENTA VALDIVIESO SORNOZA</t>
  </si>
  <si>
    <t>1310396898</t>
  </si>
  <si>
    <t>1391918216001</t>
  </si>
  <si>
    <t>CENTRO DIAGNOSTICO SAN FRANCISCO MEDICALAB&amp;CALDERON S.A.S.</t>
  </si>
  <si>
    <t>CENTRO DE DIAGNOSTICO SAN FRANCISCO</t>
  </si>
  <si>
    <t>MANABI / PORTOVIEJO / ABDON CALDERON (SAN FRANCISCO) / ELOY ALFARO S/N Y SAN FRANCISCO</t>
  </si>
  <si>
    <t>0999923310</t>
  </si>
  <si>
    <t>sanfranciscomedicalab@gmail.com</t>
  </si>
  <si>
    <t>FRANKLIN RICARDO CEDEÑO CARREÑO</t>
  </si>
  <si>
    <t>1314074293</t>
  </si>
  <si>
    <t>1307572865001</t>
  </si>
  <si>
    <t>BARRERA NAVARRETE MARIA FERNANDA</t>
  </si>
  <si>
    <t>MOTEL EROS</t>
  </si>
  <si>
    <t>VIA PORTOVIEJO MANTA</t>
  </si>
  <si>
    <t>0959526428</t>
  </si>
  <si>
    <t>fernandabarrera87@hotmail.com</t>
  </si>
  <si>
    <t>MARIA FERNANDA BARRERA NAVARRETE</t>
  </si>
  <si>
    <t>1307572865</t>
  </si>
  <si>
    <t>1350230650001</t>
  </si>
  <si>
    <t>PARRAGA CARRERA SILVANA ELIZABETH</t>
  </si>
  <si>
    <t>motel 2 CORAZONES</t>
  </si>
  <si>
    <t>0959407176</t>
  </si>
  <si>
    <t>silvanaparra.m25@gmail.com</t>
  </si>
  <si>
    <t>SILVANA ELIZABETH PARRAGA CARRERA</t>
  </si>
  <si>
    <t>1350230650</t>
  </si>
  <si>
    <t>1391746563001</t>
  </si>
  <si>
    <t>NEMUNDI S.A.</t>
  </si>
  <si>
    <t>MOTEL ILUSIONES</t>
  </si>
  <si>
    <t>0960523014</t>
  </si>
  <si>
    <t>nemundisa@gmail.com</t>
  </si>
  <si>
    <t>HOLGER HUMBERTO SALAZAR MENDOZA</t>
  </si>
  <si>
    <t>1302062169</t>
  </si>
  <si>
    <t>1304268319001</t>
  </si>
  <si>
    <t>VELASQUEZ GINES WLADEMIR NELSON</t>
  </si>
  <si>
    <t>CENTRO DE TOLERANCIA EL FIERRO</t>
  </si>
  <si>
    <t>PICOAZA VIA LA CANTERA</t>
  </si>
  <si>
    <t>0984729504</t>
  </si>
  <si>
    <t>nelsovelasquezgines@gmail.com</t>
  </si>
  <si>
    <t>WLADEMIR NELSON VELASQUEZ GINES</t>
  </si>
  <si>
    <t>1304268319</t>
  </si>
  <si>
    <t>1300235767001</t>
  </si>
  <si>
    <t>SUAREZ VERA HORLLY WLADIMIR</t>
  </si>
  <si>
    <t>CENTRO DE TOLERANCIA EL PLATINUM</t>
  </si>
  <si>
    <t>MANABI / PORTOVIEJO / PICOAZA / S/N</t>
  </si>
  <si>
    <t>0984538441</t>
  </si>
  <si>
    <t>jacintotejena3@gmail.com</t>
  </si>
  <si>
    <t>HORLLY WLADIMIR SUAREZ VERA</t>
  </si>
  <si>
    <t>1300235767</t>
  </si>
  <si>
    <t>1305248286001</t>
  </si>
  <si>
    <t>ARANGO OCHOA ANNY AMPARO</t>
  </si>
  <si>
    <t>Consultorio General de Nutrición y Dietética TORRE SAN ANTONIO</t>
  </si>
  <si>
    <t>CALLEJON ROBLES S/N Y PEDRO ZAMBRANO</t>
  </si>
  <si>
    <t>0984791428</t>
  </si>
  <si>
    <t>annyarango1@hotmail.com</t>
  </si>
  <si>
    <t>ANNY AMPARO ARANGO OCHOA</t>
  </si>
  <si>
    <t>1305248286</t>
  </si>
  <si>
    <t>1309889887001</t>
  </si>
  <si>
    <t>GANCHOZO VILLAVICENCIO MARIA ELENA</t>
  </si>
  <si>
    <t>Torre Médica San Antonio consultorio 10 PB</t>
  </si>
  <si>
    <t>Calle Robles entre Pedro zambrano Izaguirre y ave reales tamarindos consultorio 10</t>
  </si>
  <si>
    <t>0968389163</t>
  </si>
  <si>
    <t>dramanena@gmail.com</t>
  </si>
  <si>
    <t>María Elena Ganchozo Villavicencio</t>
  </si>
  <si>
    <t>1309889887</t>
  </si>
  <si>
    <t>1309567947001</t>
  </si>
  <si>
    <t>GARCIA ITURRALDE MARIA GABRIELA</t>
  </si>
  <si>
    <t>CONSULTORIO ODONTOLOGICO</t>
  </si>
  <si>
    <t>Calle Cicerón robles y César Chávez</t>
  </si>
  <si>
    <t>0993240221</t>
  </si>
  <si>
    <t>garciamariagabriela07@gmail.com</t>
  </si>
  <si>
    <t>Maria Gabriela Garcia Iturralde</t>
  </si>
  <si>
    <t>1309567947</t>
  </si>
  <si>
    <t>1391842392001</t>
  </si>
  <si>
    <t>TELEDIAGNOS SERVICIOS MÉDICOS RADIOLÓGICOS S.A.</t>
  </si>
  <si>
    <t>ecografia dr jose vicente garcía</t>
  </si>
  <si>
    <t>TORRE MEDICA SAN ANTONIO, CONSULTOIRO 120 , EN CALLEJON ROBLES ENTRE PEDRO ZAMBRANO Y REALES TAMARINDO</t>
  </si>
  <si>
    <t>0996314332</t>
  </si>
  <si>
    <t>telediagnos@gmail.com</t>
  </si>
  <si>
    <t>jose vicente garcia alvarado</t>
  </si>
  <si>
    <t>1310088438</t>
  </si>
  <si>
    <t>1391737777001</t>
  </si>
  <si>
    <t>INSTITUTO SUPERIOR TECNOLOGICO PORTOVIEJO CON LA CONDICION DE SUPERIOR UNIVERSITARIO</t>
  </si>
  <si>
    <t>ITSUP CLINIC</t>
  </si>
  <si>
    <t>CALLE GARCÍA MORENO Y AVENIDA AMÉRICA</t>
  </si>
  <si>
    <t>0989810100</t>
  </si>
  <si>
    <t>centromedicoitsup@gmail.com</t>
  </si>
  <si>
    <t>ROBERTH WILLIAM ZAMBRANO DE LA TORRE</t>
  </si>
  <si>
    <t>1310786577</t>
  </si>
  <si>
    <t>1760004650001</t>
  </si>
  <si>
    <t>INSTITUTO ECUATORIANO DE SEGURIDAD SOCIAL IESS</t>
  </si>
  <si>
    <t>DISPENSARIO CHIRIJOS</t>
  </si>
  <si>
    <t>Partiendo desde Portoviejo, por la via Portoviejo - Quevedo se dirige hasta la parroquia Chirijo, de ahí a 4 Km se llega hasta la comunidad Limon de Fatima, sobre el margen derecho a 50 metros detrás de la Iglesia Maria Auxiliadora se encuentra el dispensario.</t>
  </si>
  <si>
    <t>0980683643</t>
  </si>
  <si>
    <t>lizeth.catagua@iess.gob.ec</t>
  </si>
  <si>
    <t>ERIKA MILENA CHARFUELAN BURBANO</t>
  </si>
  <si>
    <t>401391750</t>
  </si>
  <si>
    <t>DISPENSARIO ALHAJUELA BAJO GRANDE</t>
  </si>
  <si>
    <t>VIA PORTOVIEJO-QUEVEDO, EN LA PARROQUIA ALHAJUELA, EN LA COMUNIDAD EL JOBO SOBRE EL COSTADO DERECHO DE LA VÍA PRINCIPAL, A LOS LADOS DE LA VULCANIZADORA EL JOBO.</t>
  </si>
  <si>
    <t>0986457702</t>
  </si>
  <si>
    <t>PARTIENDO DESDE PORTOVIEJO, SE LLEGA HASTA LA PARROQUIA SAN PLACIDO, ANTES DE LLEGAR A GASOLINERA SAN PLACIDO SOBRE EL MARGEN DERECHO DE LA VIA PRINCIPAL SE SUBE POR EL CERRO GABINO</t>
  </si>
  <si>
    <t>0994010215</t>
  </si>
  <si>
    <t>DISPENSARIO SAN PLACIDO</t>
  </si>
  <si>
    <t>SALIENDO DESDE PORTOVIEJO, SE TOMA LA VIA PORTOVIEJO-PICHINCHA, SE LLEGA HASTA SAN PLACIDO, A 2 KILOMETROS SE ENCUENTRA LA COMUNIDAD LA CANTERA SOBRE EL MARGEN IZQUIERDO, SE BAJA LA PENDIENTE Y HACIA EL COSTADO DERECHO SE ENCUENTRA EL DISPENSARIO.</t>
  </si>
  <si>
    <t>0980042663</t>
  </si>
  <si>
    <t>DISPENSARIO RIOCHICO</t>
  </si>
  <si>
    <t>Se encuentra ubicada en la comunidad Playa Prieta a 5 Km de la cabecera parroquial de Riochico y a 11 Km de la ciudad de Portoviejo en vías de primer orden, en el eje vial E30 de la vía Manta-Portoviejo-Pichincha. Se ingresa por la comunidad de San Gabriel hasta la comunidad Playa Prieta por camino asfaltado, en instalación localizada entre la casa comunal y la Escuela Particular Fiscomisional La Sagrada Familia</t>
  </si>
  <si>
    <t>0983373393</t>
  </si>
  <si>
    <t>DISPENSARIO ABDON CALDERON SAN FRANCISCO</t>
  </si>
  <si>
    <t>VIA PORTOVIEJO-QUEVEDO, INGRESO A LA ALTURA DE SECTOR CASCABEL(SITIO EL JOBO)HASTA LLEGAR A LA COMUNIDAD CRUZ ALTA DE MIGUELILLO, A 200 METROS DE ESCUELA JOSE DE LA CUADRA Y A LOS LADOS DE SEDE DE LA CASA COMUNAL DEL SITIO.</t>
  </si>
  <si>
    <t>0994409692</t>
  </si>
  <si>
    <t>VIA PORTOVIEJO-CRUCITA, INGRESANDO A MARGEN DERECHO A NIVEL DEL SITIO MEJIA A LADO DE VIA AL SITIO EL COROZO INGRESANDO POR LOS ROSALES, A LOS LADOS DE SEDE DE FONDO MORTUORIO DE LA COMUNIDAD MILAGRO</t>
  </si>
  <si>
    <t>0989661437</t>
  </si>
  <si>
    <t>VIA PORTOVIEJO - PICHINCHA , ENTRADA A LA COMUNIDAD POR LA BALSA -SAN VICENTE DE BIJAHUAL, CERCA DE LA CAPILLA DE LA COMINIDAD</t>
  </si>
  <si>
    <t>0988803062</t>
  </si>
  <si>
    <t>1310856719001</t>
  </si>
  <si>
    <t>VACA BRAVO ELIANA SOPHIA</t>
  </si>
  <si>
    <t>Consultorio Odontologico Eliana Vaca</t>
  </si>
  <si>
    <t>Av José Maria Urbina y Joaquín Ramírez</t>
  </si>
  <si>
    <t>0998779833</t>
  </si>
  <si>
    <t>elisofi_2310@hotmail.com</t>
  </si>
  <si>
    <t>Eliana Sophia Vaca Bravo</t>
  </si>
  <si>
    <t>1310856719</t>
  </si>
  <si>
    <t>DISPENSARIO CRUCITA</t>
  </si>
  <si>
    <t>VIA PORTOVIEJO-CRUCITA,CALLE PRINCIPAL VIA LA BOCA KM 9, A 100 METROS DE LA UNIDAD EDUCATIVA RODOLGO CHAVEZ RENDON</t>
  </si>
  <si>
    <t>0991253038</t>
  </si>
  <si>
    <t>DISPENSARIO COLON URBANO</t>
  </si>
  <si>
    <t>Calle Simón Bolívar y Portoviejo desde Portoviejo vía a Santa Ana 10 kilómetros ingresar sobre el costado izquierdo en el sitio El Cady</t>
  </si>
  <si>
    <t>0985027438</t>
  </si>
  <si>
    <t>DISPENSARIO COLON RURAL</t>
  </si>
  <si>
    <t>Comunidad Pachinche en medio de la Y</t>
  </si>
  <si>
    <t>0983323833</t>
  </si>
  <si>
    <t>0914839725001</t>
  </si>
  <si>
    <t>POLO BAYAS IRENE MARIA</t>
  </si>
  <si>
    <t>Torre Médica San Antonio</t>
  </si>
  <si>
    <t>CALLEJÓN Robles y tennis club</t>
  </si>
  <si>
    <t>0939224496</t>
  </si>
  <si>
    <t>irenepolob@hotmail.es</t>
  </si>
  <si>
    <t>Irene Maria Polo Bayas</t>
  </si>
  <si>
    <t>9,1484E+11</t>
  </si>
  <si>
    <t>KM 101 COMUNA EL PROGRESO EN LA VÍA MANTA QUEVEDO CERCA DE LA CASA COMUNAL DEL SITIO</t>
  </si>
  <si>
    <t>0994187151</t>
  </si>
  <si>
    <t>1301059331001</t>
  </si>
  <si>
    <t>GUANOLUISA CEVALLOS GALO MANUEL</t>
  </si>
  <si>
    <t>CONSULTORIO MÉDICO DR GALO</t>
  </si>
  <si>
    <t>CALLEJON ROBLES S/N Y PEDRO ZAMBRANO IZAGUIRRE TORRE MEDICA SAN ANTONIO</t>
  </si>
  <si>
    <t>0985468082</t>
  </si>
  <si>
    <t>galo_guanoluisa@hotmail.com</t>
  </si>
  <si>
    <t>GALO MANUEL GUANOLUISA CEVALLOS</t>
  </si>
  <si>
    <t>1301059331</t>
  </si>
  <si>
    <t>1768054040001</t>
  </si>
  <si>
    <t>DIRECCION NACIONAL DE ATENCION INTEGRAL EN SALUD PLANTA CENTRAL</t>
  </si>
  <si>
    <t>CENTRO SALUD 50 PORTOVIEJO POLICIA NACIONAL</t>
  </si>
  <si>
    <t>km 2 1/2 via crucita</t>
  </si>
  <si>
    <t>0958871340</t>
  </si>
  <si>
    <t>dmportoviejo@hotmail.com</t>
  </si>
  <si>
    <t>Willian Roberth Villarroel Trujillo</t>
  </si>
  <si>
    <t>1708004815</t>
  </si>
  <si>
    <t>1390128564001</t>
  </si>
  <si>
    <t>JARDINES DE MANABI JARDEMA S.A.</t>
  </si>
  <si>
    <t>Camposanto Jardines de Manabi</t>
  </si>
  <si>
    <t>Calle teniente hugo ortiz y av los almendros ciudadela san jorge</t>
  </si>
  <si>
    <t>0939213804</t>
  </si>
  <si>
    <t>balvarez@jardinesecuador.com</t>
  </si>
  <si>
    <t>Ernesto Teran Sanchez</t>
  </si>
  <si>
    <t>911238616</t>
  </si>
  <si>
    <t>1312746355001</t>
  </si>
  <si>
    <t>BARCIA BASURTO JUAN JOSE</t>
  </si>
  <si>
    <t>Consultorio DentalPro</t>
  </si>
  <si>
    <t>Avenida del ejército y paso lateral frente al upc de los cerezos</t>
  </si>
  <si>
    <t>0999053545</t>
  </si>
  <si>
    <t>Juanjo.barcia@hotmail.com</t>
  </si>
  <si>
    <t>Juan Jose Barcia Basurto</t>
  </si>
  <si>
    <t>1312746355</t>
  </si>
  <si>
    <t>1313082230001</t>
  </si>
  <si>
    <t>MACIAS CHAVEZ MARIA CRISTINA</t>
  </si>
  <si>
    <t>Crisdental</t>
  </si>
  <si>
    <t>Ramos Iduarte , Pedro Zambrano Izaguirre , Reales tamarindos</t>
  </si>
  <si>
    <t>0987604940</t>
  </si>
  <si>
    <t>mara_chavez2009@hotmail.com</t>
  </si>
  <si>
    <t>Cristina Macias</t>
  </si>
  <si>
    <t>1313082230</t>
  </si>
  <si>
    <t>1391935517001</t>
  </si>
  <si>
    <t>MEDICKING S.A.S.</t>
  </si>
  <si>
    <t>SALUBRIS</t>
  </si>
  <si>
    <t>Av. Manabi y Ramos Iduarte</t>
  </si>
  <si>
    <t>0988604772</t>
  </si>
  <si>
    <t>salubris2023@hotmail.com</t>
  </si>
  <si>
    <t>1101450904001</t>
  </si>
  <si>
    <t>ARMIJOS LUNA RUTH CECILIA</t>
  </si>
  <si>
    <t>ONCOMEDIC</t>
  </si>
  <si>
    <t>Avda. Manabi y Felipe Saul Morales . Edificio Oncomedic</t>
  </si>
  <si>
    <t>0984936626</t>
  </si>
  <si>
    <t>rarmijosl_@hotmail.com</t>
  </si>
  <si>
    <t>RUTH CECILIA ARMIJOS LUNA</t>
  </si>
  <si>
    <t>1101450904</t>
  </si>
  <si>
    <t>0908771439001</t>
  </si>
  <si>
    <t>JIMENEZ PERALTA JEANETTE PATRICIA</t>
  </si>
  <si>
    <t>CONSULTORIO DE ESPECIALIDAD JIMENEZ</t>
  </si>
  <si>
    <t>AV MANABI S/N Y TENNIS CLUB Y CALLEJON ROBLES</t>
  </si>
  <si>
    <t>0939669118</t>
  </si>
  <si>
    <t>jeanettepatricia1959@gmail.com</t>
  </si>
  <si>
    <t>JEANETTE PATRICIA JIMENEZ PERALTA</t>
  </si>
  <si>
    <t>908771439</t>
  </si>
  <si>
    <t>1303871519001</t>
  </si>
  <si>
    <t>ALAVA CEDEÑO MARIA SUSANA AUXILIADORA</t>
  </si>
  <si>
    <t>Cdla. Maestro en la calle Richard Macay vía crucita</t>
  </si>
  <si>
    <t>0993121437</t>
  </si>
  <si>
    <t>joherre18@hotmail.com</t>
  </si>
  <si>
    <t>MARIA SUSANA AUXILIADORA ALAVA CEDEÑO</t>
  </si>
  <si>
    <t>1303871519</t>
  </si>
  <si>
    <t>1305125351001</t>
  </si>
  <si>
    <t>ZAMBRANO ZAMORA TOMAS CELESTINO</t>
  </si>
  <si>
    <t>LABORATORIO CLINICO DELTA</t>
  </si>
  <si>
    <t>CALLE ELOY ALFARO ENTRE ROCAFUERTE Y PEDRO MONCAYO</t>
  </si>
  <si>
    <t>0985192508</t>
  </si>
  <si>
    <t>thomasceldelta1@hotmail.com</t>
  </si>
  <si>
    <t>Tomas Celestino Zambrano Zamora</t>
  </si>
  <si>
    <t>1305125351</t>
  </si>
  <si>
    <t>1311762676001</t>
  </si>
  <si>
    <t>YOZA MERA NORMA KATIUSKA</t>
  </si>
  <si>
    <t>Consultorio médico</t>
  </si>
  <si>
    <t>Avenida reales tamarindos</t>
  </si>
  <si>
    <t>0992882423</t>
  </si>
  <si>
    <t>normayoza@gmail.com</t>
  </si>
  <si>
    <t>Norma Yoza mera</t>
  </si>
  <si>
    <t>1311762676</t>
  </si>
  <si>
    <t>1311501207001</t>
  </si>
  <si>
    <t>RENGIFO MITE KARLA ESTEFANIA</t>
  </si>
  <si>
    <t>KARLA DENTAL CONSULTORIO</t>
  </si>
  <si>
    <t>21 DE DICIEMBRE S/N Y LIBERTAD(florón)</t>
  </si>
  <si>
    <t>0980282650</t>
  </si>
  <si>
    <t>karla_kerm@hotmail.com</t>
  </si>
  <si>
    <t>KARLA ESTEFANIA RENGIFO MITE</t>
  </si>
  <si>
    <t>1311501207</t>
  </si>
  <si>
    <t>1310022924001</t>
  </si>
  <si>
    <t>ROMERO MACIAS GEMA FERNANDA</t>
  </si>
  <si>
    <t>Consultorio Dental Gema Romero</t>
  </si>
  <si>
    <t>Calle Eloy Alfaro y Ricaurte</t>
  </si>
  <si>
    <t>0988018817</t>
  </si>
  <si>
    <t>geferpretty@hotmail.com</t>
  </si>
  <si>
    <t>Gema Romero</t>
  </si>
  <si>
    <t>1310022924</t>
  </si>
  <si>
    <t>1314073147001</t>
  </si>
  <si>
    <t>ALAVA DIAZ JOSE DANIEL</t>
  </si>
  <si>
    <t>Centro de Especialidades Médicas Santa Inés</t>
  </si>
  <si>
    <t>Calle Juan Montalvo</t>
  </si>
  <si>
    <t>0991429220</t>
  </si>
  <si>
    <t>alavaorestila@gmail.com</t>
  </si>
  <si>
    <t>Jose Daniel Alava Diaz</t>
  </si>
  <si>
    <t>1314073147</t>
  </si>
  <si>
    <t>1312237868001</t>
  </si>
  <si>
    <t>VERGARA MENDOZA VIVIANA ANNABEL</t>
  </si>
  <si>
    <t>CEMPOR CEMLABS</t>
  </si>
  <si>
    <t>AV. REALES TAMARINDOS S/N Y CONSTANTINO MENDOZA</t>
  </si>
  <si>
    <t>0968470970</t>
  </si>
  <si>
    <t>pingui1586@hotmail.com</t>
  </si>
  <si>
    <t>VIVIANA ANNABEL VERGARA MENDOZA</t>
  </si>
  <si>
    <t>1312237868</t>
  </si>
  <si>
    <t>1309553236001</t>
  </si>
  <si>
    <t>CARVAJAL PALACIOS MAURICIO ANTONIO</t>
  </si>
  <si>
    <t>DR MAURICIO CARVAJAL</t>
  </si>
  <si>
    <t>AV REALES TAMARINDO YA TANASIO SANTOS</t>
  </si>
  <si>
    <t>0989522804</t>
  </si>
  <si>
    <t>maurocarvajal3@gmail.com</t>
  </si>
  <si>
    <t>MAURICIO ANTONIO CARVAJAL PALACIOS</t>
  </si>
  <si>
    <t>1309553236</t>
  </si>
  <si>
    <t>1313258269001</t>
  </si>
  <si>
    <t>DELGADO VERA MARIA LUISA</t>
  </si>
  <si>
    <t>Consultorio Doctora María Luisa Delgado</t>
  </si>
  <si>
    <t>Ciudadela San José/Vía Crucita</t>
  </si>
  <si>
    <t>0985929235</t>
  </si>
  <si>
    <t>malulidente@gmail.com</t>
  </si>
  <si>
    <t>María Luisa Delgado Vera</t>
  </si>
  <si>
    <t>1313258269</t>
  </si>
  <si>
    <t>1314829308001</t>
  </si>
  <si>
    <t>CORNEJO MENDOZA RUBEN DARIO</t>
  </si>
  <si>
    <t>Laboratorio clínico kromalab</t>
  </si>
  <si>
    <t>Calle 12 de marzo hospital verdi Cevallos balda frente a la emergencia</t>
  </si>
  <si>
    <t>0963042659</t>
  </si>
  <si>
    <t>cornejomix@hotmail.com</t>
  </si>
  <si>
    <t>Rubén Cornejo</t>
  </si>
  <si>
    <t>1314829308</t>
  </si>
  <si>
    <t>1312412008001</t>
  </si>
  <si>
    <t>CEDEÑO MOREIRA KATHERYN MERCEDES</t>
  </si>
  <si>
    <t>Prāna estudio dental</t>
  </si>
  <si>
    <t>calle cristo rey y 10 de diciembre, entre el club Francisco Pacheco y la funeraria acrópolis</t>
  </si>
  <si>
    <t>0980654408</t>
  </si>
  <si>
    <t>kamecede@gmail.com</t>
  </si>
  <si>
    <t>Katheryn Cedeño Moreira</t>
  </si>
  <si>
    <t>1312412008</t>
  </si>
  <si>
    <t>1311639098001</t>
  </si>
  <si>
    <t>PINARGOTE MACIAS GEMA AMINTA</t>
  </si>
  <si>
    <t>LABORATORIO CLINICO SERVIMEDIC</t>
  </si>
  <si>
    <t>12 DE OCTUBRE Y ARAGANDOÑA S/N Y CALLEJON ARGANDOÑA</t>
  </si>
  <si>
    <t>0979629614</t>
  </si>
  <si>
    <t>gemap88@hotmail.com</t>
  </si>
  <si>
    <t>GEMA AMINTA PINARGOTE MACIAS</t>
  </si>
  <si>
    <t>1311639098</t>
  </si>
  <si>
    <t>1309681854001</t>
  </si>
  <si>
    <t>QUEVEDO REYNA GUILBER ANTONIO</t>
  </si>
  <si>
    <t>LABORATORIO CLINICO SANTA LUCIA MARIA</t>
  </si>
  <si>
    <t>AV. BOLIVARIANA SN Y AV. DEL EJERCITO</t>
  </si>
  <si>
    <t>0967162236</t>
  </si>
  <si>
    <t>labsantaluciamaria2013@hotmail.com</t>
  </si>
  <si>
    <t>GUILBER ANTONIO QUEVEDO REYNA</t>
  </si>
  <si>
    <t>1309681854</t>
  </si>
  <si>
    <t>1310051600001</t>
  </si>
  <si>
    <t>MOLINA CEDEÑO GLENNY PATRICIA</t>
  </si>
  <si>
    <t>LABORATORIO CLINICO SANTA LUCIA</t>
  </si>
  <si>
    <t>AV. DEL EJERCITO S/N Y QUINTA TRANSVERSAL</t>
  </si>
  <si>
    <t>0968360936</t>
  </si>
  <si>
    <t>lab-santalucia@hotmail.com</t>
  </si>
  <si>
    <t>GLENNY PATRICIA MOLINA CEDEÑO</t>
  </si>
  <si>
    <t>1310051600</t>
  </si>
  <si>
    <t>1307536464001</t>
  </si>
  <si>
    <t>PINARGOTE RODRIGUEZ RICHARD WILFRIDO</t>
  </si>
  <si>
    <t>INTEGRAL IMAGE</t>
  </si>
  <si>
    <t>CALLEJON ROBLES Y 15 DE NOVIEMBRE</t>
  </si>
  <si>
    <t>0996834759</t>
  </si>
  <si>
    <t>richard.pinargote@gmail.com</t>
  </si>
  <si>
    <t>RICHARD WILFRIDO PINARGOTE RODRIGUEZ</t>
  </si>
  <si>
    <t>1307536464</t>
  </si>
  <si>
    <t>1305425355001</t>
  </si>
  <si>
    <t>VERA VALDIVIEZO FREYA MARIA</t>
  </si>
  <si>
    <t>CENTRO DE ESTETICA DEPILEV</t>
  </si>
  <si>
    <t>AV. REALES TAMARINDOS 24 Y ATANASIO SANTOS</t>
  </si>
  <si>
    <t>0968665433</t>
  </si>
  <si>
    <t>freyitamaria@hotmail.com</t>
  </si>
  <si>
    <t>FREYA MARIA VERA VALDIVIEZO</t>
  </si>
  <si>
    <t>1305425355</t>
  </si>
  <si>
    <t>1390135072001</t>
  </si>
  <si>
    <t>FUNDACION DR. OSWALDO LOOR MOREIRA</t>
  </si>
  <si>
    <t>FUNDACION DR OSWALDO LOOR MOREIRA</t>
  </si>
  <si>
    <t>AV. URUGUAY S/N Y PADRE SOLANO</t>
  </si>
  <si>
    <t>0987594881</t>
  </si>
  <si>
    <t>fundacion_olm@yahoo.com</t>
  </si>
  <si>
    <t>YOLANDA ELIZABETH LOOR GILER</t>
  </si>
  <si>
    <t>1300150297</t>
  </si>
  <si>
    <t>SUIA-01-2020-MAE-CGZ4-DPAM-00116</t>
  </si>
  <si>
    <t>1310292519001</t>
  </si>
  <si>
    <t>BORJA ZAMBRANO JASMIN BEATRIZ</t>
  </si>
  <si>
    <t>CENTRO DE RADIOGRAFIAS DENTALES</t>
  </si>
  <si>
    <t>AV. PAULO EMILIO MACIAS ENTRE AV. MANABÍ Y CALLE PEDRO ZAMBRANO</t>
  </si>
  <si>
    <t>0980565534</t>
  </si>
  <si>
    <t>bachib1982@hotmail.com</t>
  </si>
  <si>
    <t>JASMIN BEATRIZ BORJA ZAMBRANO</t>
  </si>
  <si>
    <t>1310292519</t>
  </si>
  <si>
    <t>ACESS-2024-Z04-0220279</t>
  </si>
  <si>
    <t>1309108114001</t>
  </si>
  <si>
    <t>ALVARADO PINO LUIS EDUARDO</t>
  </si>
  <si>
    <t>ALDODENTAL</t>
  </si>
  <si>
    <t>Calle Morales y Bolívar</t>
  </si>
  <si>
    <t>0985747443</t>
  </si>
  <si>
    <t>dr_alvarado@hotmail.com</t>
  </si>
  <si>
    <t>Luis Eduardo Alvarado Pino</t>
  </si>
  <si>
    <t>1309108114</t>
  </si>
  <si>
    <t>Biolab Laboratoiro de análisis clínico</t>
  </si>
  <si>
    <t>calle Rocafuerte y Eloy Alfaro</t>
  </si>
  <si>
    <t>Alex Alberto Bardellini Mera</t>
  </si>
  <si>
    <t>1391857454001</t>
  </si>
  <si>
    <t>FUNDACION CENTRO DE APOYO Y SOLIDARIDAD C.A.S. ALIANZA</t>
  </si>
  <si>
    <t>FUNDACION CAS ALIANZA</t>
  </si>
  <si>
    <t>AV METROPOLITANA Y VICENTE MACIAS</t>
  </si>
  <si>
    <t>0986526167</t>
  </si>
  <si>
    <t>casalianza@hotmail.es</t>
  </si>
  <si>
    <t>CRISTHIAN JAVIER ALMEIDA INTRIAGO</t>
  </si>
  <si>
    <t>1309966933</t>
  </si>
  <si>
    <t>1303300386001</t>
  </si>
  <si>
    <t>DUEÑAS PORTILLA GIANNIA MARIA</t>
  </si>
  <si>
    <t>SONRIA ESPECIALIDADES ODONTOLOGICAS</t>
  </si>
  <si>
    <t>LUIS DUEÑAS Y BOLIVAR AVILA Y AGUSTO CEDEÑO MENDOZA</t>
  </si>
  <si>
    <t>0997799094</t>
  </si>
  <si>
    <t>giannia11endo@gmail.com</t>
  </si>
  <si>
    <t>GIANNIA MARIA DUEÑAS PORTILLA</t>
  </si>
  <si>
    <t>1303300386</t>
  </si>
  <si>
    <t>1310833015001</t>
  </si>
  <si>
    <t>ACOSTA ARELLANO MARITZA MAGDALENA</t>
  </si>
  <si>
    <t>Dentalo</t>
  </si>
  <si>
    <t>Calle Andrés cedeño, Olmedo - Abdon Calderón Frente al centro de salud</t>
  </si>
  <si>
    <t>0983119477</t>
  </si>
  <si>
    <t>maritza1982@hotmail.es</t>
  </si>
  <si>
    <t>Maritza Magdalena Acosta Arellano</t>
  </si>
  <si>
    <t>1310833015</t>
  </si>
  <si>
    <t>1311398950001</t>
  </si>
  <si>
    <t>GARRETTY POGGI MICHELLE</t>
  </si>
  <si>
    <t>CONSULTORIO DE ESPECIALIDAD FLEBOSTETIC</t>
  </si>
  <si>
    <t>MANUEL ANDRADE URETA S/N Y ULBIO ALCIVAR</t>
  </si>
  <si>
    <t>0995211529</t>
  </si>
  <si>
    <t>michellegarretty@hotmail.com</t>
  </si>
  <si>
    <t>MICHELLE GARRETTY POGGI</t>
  </si>
  <si>
    <t>1311398950</t>
  </si>
  <si>
    <t>1305495531001</t>
  </si>
  <si>
    <t>MONTANO GUERRERO MARTHA KATIUSKA</t>
  </si>
  <si>
    <t>DENTALK</t>
  </si>
  <si>
    <t>AVENIDA REALES TAMARINDOS S/N Y EUDORO LOOR</t>
  </si>
  <si>
    <t>0998189667</t>
  </si>
  <si>
    <t>montanokatiuska3@gmail.com</t>
  </si>
  <si>
    <t>MARTHA KATIUSKA MONTANO GUERRERO</t>
  </si>
  <si>
    <t>1305495531</t>
  </si>
  <si>
    <t>1391719779001</t>
  </si>
  <si>
    <t>FUNDACION SOCIAL CRISTO REY</t>
  </si>
  <si>
    <t>CENTRO MÉDICO CRISTO REY</t>
  </si>
  <si>
    <t>Calle Cristo Rey, entre Sucre y Baquerizo Moreno</t>
  </si>
  <si>
    <t>0967404153</t>
  </si>
  <si>
    <t>fuscrey@cristorey.edu.ec</t>
  </si>
  <si>
    <t>Servio Rafael Mocha Candell</t>
  </si>
  <si>
    <t>702010901</t>
  </si>
  <si>
    <t>1314289347001</t>
  </si>
  <si>
    <t>PACHAY QUIROZ CRISTINA MERCEDES</t>
  </si>
  <si>
    <t>TESTLAB</t>
  </si>
  <si>
    <t>CALLE ELOY ALFARO Y ROCAFUERTE</t>
  </si>
  <si>
    <t>0984416683</t>
  </si>
  <si>
    <t>cristipachay@hotmail.com</t>
  </si>
  <si>
    <t>Cristina Mercedes Pachay Quiroz</t>
  </si>
  <si>
    <t>1314289347</t>
  </si>
  <si>
    <t>1307431617001</t>
  </si>
  <si>
    <t>VALDIVIESO SOLORZANO LUDYS GLORIA</t>
  </si>
  <si>
    <t>Consultorio Médico Pasteur</t>
  </si>
  <si>
    <t>Calderón .Avenida Eloy Alfaro calle Sta Rita</t>
  </si>
  <si>
    <t>0988565414</t>
  </si>
  <si>
    <t>draludys@hotmail.com</t>
  </si>
  <si>
    <t>Ludys Valdivieso</t>
  </si>
  <si>
    <t>1307431617</t>
  </si>
  <si>
    <t>CALLE SIMON BOLIVAR</t>
  </si>
  <si>
    <t>0000000000</t>
  </si>
  <si>
    <t>altacorreo@gmail.com</t>
  </si>
  <si>
    <t>0904161569001</t>
  </si>
  <si>
    <t>CAMPUZANO ICAZA CARMEN AURORA</t>
  </si>
  <si>
    <t>SERVICIO MEDICO ROFE CONSULTORIO MEDICO CARMEN CAMPUZANO</t>
  </si>
  <si>
    <t>Av. Rocafuerte 437 , entre Bolívar y espejo</t>
  </si>
  <si>
    <t>0998891935</t>
  </si>
  <si>
    <t>carmitaicaza@hotmail.com</t>
  </si>
  <si>
    <t>CARMEN AURORA CAMPUZANO ICAZA</t>
  </si>
  <si>
    <t>904161569</t>
  </si>
  <si>
    <t>1308358827001</t>
  </si>
  <si>
    <t>PALMA ALCIVAR WENDY ERIKA</t>
  </si>
  <si>
    <t>Dra Erika Palma</t>
  </si>
  <si>
    <t>Plaza colón ,calle Jipijapa y 4ta transversal</t>
  </si>
  <si>
    <t>0983312369</t>
  </si>
  <si>
    <t>wepa1989@hotmail.com</t>
  </si>
  <si>
    <t>Erika Palma</t>
  </si>
  <si>
    <t>1308358827</t>
  </si>
  <si>
    <t>1303960213001</t>
  </si>
  <si>
    <t>NAVARRETE MENENDEZ BERNARDITA GENOVEVA DE LAS MERCEDES</t>
  </si>
  <si>
    <t>SMILE SHINE DENTAL</t>
  </si>
  <si>
    <t>CALLE ROCAFUERTE Y AVENIDA GUAYAQUIL</t>
  </si>
  <si>
    <t>0996585520</t>
  </si>
  <si>
    <t>dentalsmileshine@gmail.com</t>
  </si>
  <si>
    <t>BERNARDITA GENOVEVA DE LAS MERCEDES NAVARRETE MENENDEZ</t>
  </si>
  <si>
    <t>1303960213</t>
  </si>
  <si>
    <t>1310936677001</t>
  </si>
  <si>
    <t>ARTEAGA PATIÑO LUIGI MARCELO</t>
  </si>
  <si>
    <t>Dr Luigi Arteaga médico geriatra</t>
  </si>
  <si>
    <t>C 4 y Kennedy tras universidad san gregorio</t>
  </si>
  <si>
    <t>0988476693</t>
  </si>
  <si>
    <t>drarteagageriatra@gmail.com</t>
  </si>
  <si>
    <t>Luigi Marcelo Arteaga Patiño</t>
  </si>
  <si>
    <t>1310936677</t>
  </si>
  <si>
    <t>1311749152001</t>
  </si>
  <si>
    <t>VELASQUEZ BRAVO VANESSA IVONNE</t>
  </si>
  <si>
    <t>IVOLAB</t>
  </si>
  <si>
    <t>Primero de enero y francisco de paula moreira</t>
  </si>
  <si>
    <t>0963473371</t>
  </si>
  <si>
    <t>ivolab88@hotmail.com</t>
  </si>
  <si>
    <t>Vanessa Velásquez</t>
  </si>
  <si>
    <t>1311749152</t>
  </si>
  <si>
    <t>1104436603001</t>
  </si>
  <si>
    <t>ZAMBRANO VEGA CARLOS ALBERTO</t>
  </si>
  <si>
    <t>Ceodent</t>
  </si>
  <si>
    <t>Av. del Ejército entre primera y segunda transversal</t>
  </si>
  <si>
    <t>0997965498</t>
  </si>
  <si>
    <t>zvcamyzr9@gmail.com</t>
  </si>
  <si>
    <t>Carlos Zambrano</t>
  </si>
  <si>
    <t>1104436603</t>
  </si>
  <si>
    <t>1391879474001</t>
  </si>
  <si>
    <t>CONSULTORIOS Y PARQUEADEROS SAN FRANCISCO</t>
  </si>
  <si>
    <t>CONSULTORIOS SAN FRANCISCO</t>
  </si>
  <si>
    <t>4,6 km · Consultorios San Francisco, Autopista del Valle, Manabí</t>
  </si>
  <si>
    <t>0967781126</t>
  </si>
  <si>
    <t>cosf.sanfrancisco@gmail.com</t>
  </si>
  <si>
    <t>FRANKLIN ALEJANDRO ZAMBRANO LANGE</t>
  </si>
  <si>
    <t>1308825247</t>
  </si>
  <si>
    <t>1391881312001</t>
  </si>
  <si>
    <t>INSTITUTO MANABITA DE ENFERMEDADES CARDIOVASCULAR INMACARDIO S.A.</t>
  </si>
  <si>
    <t>IMEC</t>
  </si>
  <si>
    <t>AUTOPISTA MANABI GUILLEN S/N Y REGISTRO CIVIL</t>
  </si>
  <si>
    <t>0969264000</t>
  </si>
  <si>
    <t>imecprestaciones@gmail.com</t>
  </si>
  <si>
    <t>MARIA NARCISA DE JESUS LOOR GARCIA</t>
  </si>
  <si>
    <t>1301932172</t>
  </si>
  <si>
    <t>Dental Art creando sonrisa</t>
  </si>
  <si>
    <t>Av reales tamarindo y Atanasio Santos</t>
  </si>
  <si>
    <t>mauricio Antonio CArvajal PAlacios</t>
  </si>
  <si>
    <t>1315182475001</t>
  </si>
  <si>
    <t>CEDEÑO MACIAS BYRON ANDRES</t>
  </si>
  <si>
    <t>ESTUDIOS BYFO TATTOO</t>
  </si>
  <si>
    <t>Calle 26 de Septiembre y 28 de Marzo.</t>
  </si>
  <si>
    <t>0969598336</t>
  </si>
  <si>
    <t>byfoart17@gmail.com</t>
  </si>
  <si>
    <t>BYRON ANDRES CEDEÑO MACIAS</t>
  </si>
  <si>
    <t>1315182475</t>
  </si>
  <si>
    <t>1310830367001</t>
  </si>
  <si>
    <t>HERNANDEZ VILLAVICENCIO MARIA EUGENIA</t>
  </si>
  <si>
    <t>Maru Villavicencio Cirugía Plástica</t>
  </si>
  <si>
    <t>Avenida reales tamarindo y callejón robles</t>
  </si>
  <si>
    <t>0992268402</t>
  </si>
  <si>
    <t>maruvillavicencio.cp@gmail.com</t>
  </si>
  <si>
    <t>María Eugenia Hernandez Villavicencio</t>
  </si>
  <si>
    <t>1310830367</t>
  </si>
  <si>
    <t>1313251678001</t>
  </si>
  <si>
    <t>SMILE CONSULTORIO ODONTOLOGICO</t>
  </si>
  <si>
    <t>CALLE ATANACIO SANTOS A UN LADO GRAFICA LIZ</t>
  </si>
  <si>
    <t>0992758216</t>
  </si>
  <si>
    <t>aniitacastro10@gmail.com</t>
  </si>
  <si>
    <t>ANA CRISTINA CASTRO INTRIAGO</t>
  </si>
  <si>
    <t>1313251678</t>
  </si>
  <si>
    <t>1,309E+13</t>
  </si>
  <si>
    <t>1391718756001</t>
  </si>
  <si>
    <t>PARROQUIA PIO IX</t>
  </si>
  <si>
    <t>Centro médico Parroquia Pio IX</t>
  </si>
  <si>
    <t>Cordova S/N y Atahualpa</t>
  </si>
  <si>
    <t>0993065254</t>
  </si>
  <si>
    <t>beatopionoveno@gmail.com</t>
  </si>
  <si>
    <t>Edwin Pedro Delgado Cedeño</t>
  </si>
  <si>
    <t>1308715695</t>
  </si>
  <si>
    <t>1304394354001</t>
  </si>
  <si>
    <t>MENDOZA MENDOZA CESAR FIDEL</t>
  </si>
  <si>
    <t>César Fidel Mendoza Mendoza</t>
  </si>
  <si>
    <t>Calle Francisco de Paula Moreira y García Moreno</t>
  </si>
  <si>
    <t>0987331184</t>
  </si>
  <si>
    <t>cesarfidel25@yahoo.com</t>
  </si>
  <si>
    <t>1304394354</t>
  </si>
  <si>
    <t>1391766416001</t>
  </si>
  <si>
    <t>INSTITUTO LAVISION S.A.</t>
  </si>
  <si>
    <t>INSTITUTO DE LA VISION</t>
  </si>
  <si>
    <t>AVENIDA 5 DE JUNIO Y AVENIDA MANABI</t>
  </si>
  <si>
    <t>0523385500</t>
  </si>
  <si>
    <t>institutolavision@gmail.com</t>
  </si>
  <si>
    <t>ROBERTO ERNESTO ALCIVAR VITERI</t>
  </si>
  <si>
    <t>1305606582</t>
  </si>
  <si>
    <t>1391754167001</t>
  </si>
  <si>
    <t>CLINICA STAMARGARITA S.A.</t>
  </si>
  <si>
    <t>CLINICA STAMARGARITA S A</t>
  </si>
  <si>
    <t>MANABI / PORTOVIEJO / PORTOVIEJO / CHILE S/N Y COLON Y 18 DE OCTUBRE</t>
  </si>
  <si>
    <t>0999364301</t>
  </si>
  <si>
    <t>merlin-orellana@hotmail.com</t>
  </si>
  <si>
    <t>MERLIN DENNIS ORELLANA ESPINOZA</t>
  </si>
  <si>
    <t>918704727</t>
  </si>
  <si>
    <t>0960139236001</t>
  </si>
  <si>
    <t>PARRA IRAOLA SANDRA SUSANA</t>
  </si>
  <si>
    <t>ORTOSEG</t>
  </si>
  <si>
    <t>Avenida Reales Tamarindos, s/n , diagonal al colegio Cruz del Norte</t>
  </si>
  <si>
    <t>0987404367</t>
  </si>
  <si>
    <t>sandrasusanaparrairaola@gmail.com</t>
  </si>
  <si>
    <t>Sandra Susana Parra Iraola</t>
  </si>
  <si>
    <t>960139236</t>
  </si>
  <si>
    <t>1314285758001</t>
  </si>
  <si>
    <t>GANCHOZO BERMELLO LADY VANESSA</t>
  </si>
  <si>
    <t>LABORATORIO CLINICO SAN JOSE</t>
  </si>
  <si>
    <t>AV. 15 DE ABRIL Y CALLE TULIPANES</t>
  </si>
  <si>
    <t>0987481886</t>
  </si>
  <si>
    <t>laboratorioclinico.sanjose2023@gmail.com</t>
  </si>
  <si>
    <t>LADY VANESSA GANCHOZO BERMELLO</t>
  </si>
  <si>
    <t>1314285758</t>
  </si>
  <si>
    <t>1306536242001</t>
  </si>
  <si>
    <t>VELEZ SILVA VICENTA EMPERATRIZ</t>
  </si>
  <si>
    <t>TRIZDENTAL</t>
  </si>
  <si>
    <t>La municipal</t>
  </si>
  <si>
    <t>0996147197</t>
  </si>
  <si>
    <t>vicenta_27@hotmail.com</t>
  </si>
  <si>
    <t>Vicenta Emperatriz Vélez Silva</t>
  </si>
  <si>
    <t>1306536242</t>
  </si>
  <si>
    <t>1310667538001</t>
  </si>
  <si>
    <t>MENDOZA BONOSO KAREN TATIANA</t>
  </si>
  <si>
    <t>ADONTOLOGICO DENTAL SMILE</t>
  </si>
  <si>
    <t>CIUDADELA COMERCIO/CALLE COMERCIO Y VENEZUELA</t>
  </si>
  <si>
    <t>0996018365</t>
  </si>
  <si>
    <t>karenmenbon@outlook.com</t>
  </si>
  <si>
    <t>KAREN TATIANA MENDOZA BONOSO</t>
  </si>
  <si>
    <t>1310667538</t>
  </si>
  <si>
    <t>1312020025001</t>
  </si>
  <si>
    <t>ESPINOZA RUIZ INGRID ROSIBEL</t>
  </si>
  <si>
    <t>CONSULTORIO DENTAL INGRID ESPINOZA</t>
  </si>
  <si>
    <t>AVE. REALES TAMARINDOS CALLE EUDORO LOOR Y VICTOR VELEZ</t>
  </si>
  <si>
    <t>0989242519</t>
  </si>
  <si>
    <t>ingrid-espinoza06@hotmail.com</t>
  </si>
  <si>
    <t>INGRID ROSIBEL ESPINOZA RUIZ</t>
  </si>
  <si>
    <t>1312020025</t>
  </si>
  <si>
    <t>DENTAL SMILE</t>
  </si>
  <si>
    <t>AV.MANABI Y CALLEJON ROBLES</t>
  </si>
  <si>
    <t>0993233951001</t>
  </si>
  <si>
    <t>GLOBAL MEDIC MEDICGLO S.A.</t>
  </si>
  <si>
    <t>PORTOSALUD</t>
  </si>
  <si>
    <t>Cdla. Cdla El Maestro, Via Crucita Km 1.5</t>
  </si>
  <si>
    <t>0984244234</t>
  </si>
  <si>
    <t>jefeoperativo@portosalud.com</t>
  </si>
  <si>
    <t>ANNABEL MONSERRATE FERNANDEZ FERNANDEZ</t>
  </si>
  <si>
    <t>1311943482</t>
  </si>
  <si>
    <t>no</t>
  </si>
  <si>
    <t>Avenida Manabi y 18 de octubre frente al IESS</t>
  </si>
  <si>
    <t>0987137699</t>
  </si>
  <si>
    <t>Rita Olegaria Cedeño Borja</t>
  </si>
  <si>
    <t>1391924909001</t>
  </si>
  <si>
    <t>CORPORACIÓN GISAR DE MULTISERVICIOS EN SALUD GISARCORP S.A.</t>
  </si>
  <si>
    <t>CEMGI</t>
  </si>
  <si>
    <t>Calle Pedro Zambrano Izaguirre entre Cesar Chávez y Avenida Paulo Emilio Macías</t>
  </si>
  <si>
    <t>0995100839</t>
  </si>
  <si>
    <t>anitagiler@hotmail.com</t>
  </si>
  <si>
    <t>Juana Dolores Sarmiento Cueva</t>
  </si>
  <si>
    <t>1704590478</t>
  </si>
  <si>
    <t>1391839723001</t>
  </si>
  <si>
    <t>INSTITUTO DE CIENCIAS CRITICAS MANABI ICCMANABI SA</t>
  </si>
  <si>
    <t>CLINICA SAN FRANCISCO</t>
  </si>
  <si>
    <t>AUTOPISTA DEL VALLE MANABI GUILLEM</t>
  </si>
  <si>
    <t>0981853885</t>
  </si>
  <si>
    <t>jpincayiccmasf@gmail.com</t>
  </si>
  <si>
    <t>JOSE MIGUEL MACHUCA MERA</t>
  </si>
  <si>
    <t>1305444521</t>
  </si>
  <si>
    <t>1300258124001</t>
  </si>
  <si>
    <t>PINOARGOTE MENDOZA ANTONIO ROBESPIERRE</t>
  </si>
  <si>
    <t>0969772452</t>
  </si>
  <si>
    <t>robo47@hotmail.com</t>
  </si>
  <si>
    <t>ANTONIO ROBESPIERRE PINOARGOTE MENDOZA</t>
  </si>
  <si>
    <t>1300258124</t>
  </si>
  <si>
    <t>1391719000001</t>
  </si>
  <si>
    <t>SOCIEDAD DE LUCHA CONTRA EL CANCER DE MANABI NUCLEO DE PORTOVIEJO</t>
  </si>
  <si>
    <t>SOLCA MANABI NUCLEO PORTOVIEJO</t>
  </si>
  <si>
    <t>AUTOPISTA DEL VALLE</t>
  </si>
  <si>
    <t>5052580022</t>
  </si>
  <si>
    <t>serviciosgenerales@mail2.solcamanabi.org</t>
  </si>
  <si>
    <t>Diario</t>
  </si>
  <si>
    <t>RUTH JOSEFINA RIVERA CHANG</t>
  </si>
  <si>
    <t>902187087</t>
  </si>
  <si>
    <t>15-12-DPM-086</t>
  </si>
  <si>
    <t>1792086353001</t>
  </si>
  <si>
    <t>COMPAÑIA DE SERVICIOS SOLIDARIOS CRUZVITAL S.A.</t>
  </si>
  <si>
    <t>CENTROS MEDICOS ESPECIALIZADOS CRUZ ROJA ECUATORIANA</t>
  </si>
  <si>
    <t>Calle: MANABI Número: S/N Intersección: FELIPE SAUL MORALES Conjunto: URB PORTAL DE LOS BOSQUES Referencia: JUNTO A COOP COMERCIO</t>
  </si>
  <si>
    <t>0960689500</t>
  </si>
  <si>
    <t>lpaliz@centrosmedicoscruzroja.com.ec</t>
  </si>
  <si>
    <t>TANIA MARCELA CEVALLOS SÁNCHEZ</t>
  </si>
  <si>
    <t>101434355</t>
  </si>
  <si>
    <t>GADPLR-SUIA-2023-CA-0071</t>
  </si>
  <si>
    <t>1312187626001</t>
  </si>
  <si>
    <t>ACOSTA MENDOZA MIGUEL ANGEL</t>
  </si>
  <si>
    <t>MIGUEL ACOSTA ESTETICA BUCO FACIAL</t>
  </si>
  <si>
    <t>CALLE TIBURCIO MACIAS Y LUIS DUENAS</t>
  </si>
  <si>
    <t>0995857479</t>
  </si>
  <si>
    <t>od.acostama@gmail.com</t>
  </si>
  <si>
    <t>MIGUEL ANGEL ACOSTA MENDOZA</t>
  </si>
  <si>
    <t>1312187626</t>
  </si>
  <si>
    <t>1391734042001</t>
  </si>
  <si>
    <t>SOCIEDAD DE HECHO DENOMINADA SINAI</t>
  </si>
  <si>
    <t>SINAI</t>
  </si>
  <si>
    <t>Pacheco y 10 de agosto</t>
  </si>
  <si>
    <t>0981242643</t>
  </si>
  <si>
    <t>soc.sinai2026@gmail.com</t>
  </si>
  <si>
    <t>KARLA TERESA ARTEAGA MEZA</t>
  </si>
  <si>
    <t>1309575833</t>
  </si>
  <si>
    <t>1310446545001</t>
  </si>
  <si>
    <t>GARCIA MEDINA EMILIA CRISTINA</t>
  </si>
  <si>
    <t>EMILIA GARCIA MEDINA</t>
  </si>
  <si>
    <t>Calle Rafael Jarre Vinces</t>
  </si>
  <si>
    <t>0968656259</t>
  </si>
  <si>
    <t>emiliacg@hotmail.es</t>
  </si>
  <si>
    <t>Emilia Garcia Medina</t>
  </si>
  <si>
    <t>1310446545</t>
  </si>
  <si>
    <t>1791739477001</t>
  </si>
  <si>
    <t>SISTEMAS DE SALUD ROCARSYSTEM S.A.</t>
  </si>
  <si>
    <t>Rocarsystem</t>
  </si>
  <si>
    <t>15 de Abril, Portoviejo 130101</t>
  </si>
  <si>
    <t>0985915701</t>
  </si>
  <si>
    <t>ellerena@rocarsystem.com</t>
  </si>
  <si>
    <t>Miryam Melina Bajaña Constante</t>
  </si>
  <si>
    <t>918857574</t>
  </si>
  <si>
    <t>1302593627001</t>
  </si>
  <si>
    <t>ACOSTA INTRIAGO NARCISO GONZALO</t>
  </si>
  <si>
    <t>Calle Francisco de P Moreira entre avenida Manabí y calle Chile</t>
  </si>
  <si>
    <t>0999353345</t>
  </si>
  <si>
    <t>kettylabella@live.com</t>
  </si>
  <si>
    <t>Narciso Gonzalo Acosta Intriago</t>
  </si>
  <si>
    <t>1302593627</t>
  </si>
  <si>
    <t>02300630916001</t>
  </si>
  <si>
    <t>ALCIVAR MOREIRA MILENY YULEXI</t>
  </si>
  <si>
    <t>Consultorio Dental CY</t>
  </si>
  <si>
    <t>Calle Venezuela y Juan Montalvo</t>
  </si>
  <si>
    <t>0983695227</t>
  </si>
  <si>
    <t>yulexi_alcivar@outlook.com</t>
  </si>
  <si>
    <t>Mileny Yulexi Alcivar Moreira</t>
  </si>
  <si>
    <t>2300630916</t>
  </si>
  <si>
    <t>CERI 3, CENTRO ESPECIALIZADO EN REHABILITACION INTEGRAL N° 3 PORTOVIEJO</t>
  </si>
  <si>
    <t>AV. MANABI Y CALLE RIO AMAZONAS</t>
  </si>
  <si>
    <t>0969012670</t>
  </si>
  <si>
    <t>ceriportoviejo@gmail.com</t>
  </si>
  <si>
    <t>MARIA DE LOS ANGELES LOOR ZAMBRANO</t>
  </si>
  <si>
    <t>1306693647</t>
  </si>
  <si>
    <t>1309910469001</t>
  </si>
  <si>
    <t>MENDOZA PALMA JIMMY JOSE</t>
  </si>
  <si>
    <t>Palma Dental Expert</t>
  </si>
  <si>
    <t>CALLE TENNIS CLUB Y PEDRO ZAMBRANO IZAGUIRRE</t>
  </si>
  <si>
    <t>0967503233</t>
  </si>
  <si>
    <t>od.jimmympalma@gmail.com</t>
  </si>
  <si>
    <t>Jimmy Mendoza Palma</t>
  </si>
  <si>
    <t>1309910469</t>
  </si>
  <si>
    <t>1303981417001</t>
  </si>
  <si>
    <t>BRAVO RODRIGUEZ DANNY PAUL</t>
  </si>
  <si>
    <t>Laboratorio clínico Laborclin</t>
  </si>
  <si>
    <t>Cdla. Los Olivos. Av del Ejercito Frente a los Hangares del Grupo Aéreo Militar</t>
  </si>
  <si>
    <t>0987158105</t>
  </si>
  <si>
    <t>dpaulbr@ymail.com</t>
  </si>
  <si>
    <t>Danny Paul Bravo Rodríguez</t>
  </si>
  <si>
    <t>1303981417</t>
  </si>
  <si>
    <t>1308628062001</t>
  </si>
  <si>
    <t>POVEDA AYON JOSE DANIEL</t>
  </si>
  <si>
    <t>Consultorio Dental Nice Teeth</t>
  </si>
  <si>
    <t>Ciudadela El Maestro, Calle Amistad entre San Francisco y Educadores</t>
  </si>
  <si>
    <t>0992999207</t>
  </si>
  <si>
    <t>danypvd@hotmail.com</t>
  </si>
  <si>
    <t>José Daniel Poveda Ayón</t>
  </si>
  <si>
    <t>1308628062</t>
  </si>
  <si>
    <t>1003960778001</t>
  </si>
  <si>
    <t>MENDOZA PACHECO GEMA JAZMIN</t>
  </si>
  <si>
    <t>Laboratorio Clinico YEMLAB</t>
  </si>
  <si>
    <t>Calle Rocafuerte y Eloy Alfaro</t>
  </si>
  <si>
    <t>0992302299</t>
  </si>
  <si>
    <t>laboratorioclinico0816@outlook.com</t>
  </si>
  <si>
    <t>Gema Jazmin Mendoza Pacheco</t>
  </si>
  <si>
    <t>1003960778</t>
  </si>
  <si>
    <t>MAATE-RA-2024-518805</t>
  </si>
  <si>
    <t>Dra Stefania Rivera</t>
  </si>
  <si>
    <t>Av. 5 de Junio - 150 METROS DEL INSTITUTO DE LA VISION A LOS LADOS DE CLINICA FLOR</t>
  </si>
  <si>
    <t>1391821190001</t>
  </si>
  <si>
    <t>BELAXA CIA. LTDA.</t>
  </si>
  <si>
    <t>HOSPITAL BASICO BAMBINI</t>
  </si>
  <si>
    <t>AV REALES TAMARINOS</t>
  </si>
  <si>
    <t>0998615440</t>
  </si>
  <si>
    <t>belaxa@hotmail.com</t>
  </si>
  <si>
    <t>XAVIER HOLGUIN</t>
  </si>
  <si>
    <t>1304662776</t>
  </si>
  <si>
    <t>1313697177001</t>
  </si>
  <si>
    <t>CEDEÑO ESMERALDA JOSUE PATRICIO</t>
  </si>
  <si>
    <t>CONSULTORIO DR JOSUE CEDEÑO</t>
  </si>
  <si>
    <t>AVENIDA BOLIVARIANA 1 Y CALLE EL CARMEN</t>
  </si>
  <si>
    <t>0993824943</t>
  </si>
  <si>
    <t>medicojpatricio@hotmail.com</t>
  </si>
  <si>
    <t>JOSUE PATRICIO CEDEÑO ESMERALDA</t>
  </si>
  <si>
    <t>1313697177</t>
  </si>
  <si>
    <t>1316424223001</t>
  </si>
  <si>
    <t>VINCES GARCIA JOHN STEVEN</t>
  </si>
  <si>
    <t>Laboratorio Clínico PORTOLAB</t>
  </si>
  <si>
    <t>John F. Kennedy y Cristo del Consuelo</t>
  </si>
  <si>
    <t>0989013992</t>
  </si>
  <si>
    <t>portolab.labclin@gmail.com</t>
  </si>
  <si>
    <t>Vinces García John Steven</t>
  </si>
  <si>
    <t>1316424223</t>
  </si>
  <si>
    <t>1303162489001</t>
  </si>
  <si>
    <t>GUERRERO GARCIA YARA AZALIA BEATRIZ</t>
  </si>
  <si>
    <t>OMNI DENTAL</t>
  </si>
  <si>
    <t>AV. 5 DE JUNIO</t>
  </si>
  <si>
    <t>0994655538</t>
  </si>
  <si>
    <t>yaraguerrero@hotmail.com</t>
  </si>
  <si>
    <t>YARA AZALEA BEATRIZ GUERRERO GARCIA</t>
  </si>
  <si>
    <t>1303162489</t>
  </si>
  <si>
    <t>1792162297001</t>
  </si>
  <si>
    <t>ZURITA &amp; ZURITA LABORATORIOS CIA. LTDA.</t>
  </si>
  <si>
    <t>ZURITA ZURITA LABORATORIOS</t>
  </si>
  <si>
    <t>Avenida Reales Tamarindos, diagonal a Produbanco</t>
  </si>
  <si>
    <t>0980227974</t>
  </si>
  <si>
    <t>coordinadormanabi@zuritalaboratorios.com</t>
  </si>
  <si>
    <t>Camilo Zurita Salinas</t>
  </si>
  <si>
    <t>1705276408</t>
  </si>
  <si>
    <t>MAATE-RA-2022-438811</t>
  </si>
  <si>
    <t>1307498079001</t>
  </si>
  <si>
    <t>VINCES GILCES ANGEL YOVANNY</t>
  </si>
  <si>
    <t>Laboratorio Patológico Dr. Ángel Vinces</t>
  </si>
  <si>
    <t>Calle 12 de marzo y Rocarfuerte frente al hospitsl Verdi Cevallos.</t>
  </si>
  <si>
    <t>0994039410</t>
  </si>
  <si>
    <t>anvingil@hotmail.com</t>
  </si>
  <si>
    <t>Dr. Angel Vinces Gilces.</t>
  </si>
  <si>
    <t>1307498079</t>
  </si>
  <si>
    <t>No</t>
  </si>
  <si>
    <t>1313164830001</t>
  </si>
  <si>
    <t>PEÑA PALACIOS SAMMY IRINA</t>
  </si>
  <si>
    <t>DOCTORA SAMMY PEÑA CONSULTORIO MEDICO</t>
  </si>
  <si>
    <t>FELIPE CAICEDO Y RUBEN DARIO MORALES</t>
  </si>
  <si>
    <t>0968463791</t>
  </si>
  <si>
    <t>irinapp22@gmail.com</t>
  </si>
  <si>
    <t>SAMMY IRINA PEÑA PALACIOS</t>
  </si>
  <si>
    <t>1313164830</t>
  </si>
  <si>
    <t>1305210286001</t>
  </si>
  <si>
    <t>VILLAVICENCIO REYES LETTY JACQUELINE</t>
  </si>
  <si>
    <t>UNIDAD PEDIATRICA DRA LETTY VILLAVICENCIO</t>
  </si>
  <si>
    <t>Calle García Moreno y Sucre</t>
  </si>
  <si>
    <t>0980927876</t>
  </si>
  <si>
    <t>lvillavicencior@hotmail.com</t>
  </si>
  <si>
    <t>Letty Jacqueline Villavicencio Reyes</t>
  </si>
  <si>
    <t>1305210286</t>
  </si>
  <si>
    <t>S/R</t>
  </si>
  <si>
    <t>S/L</t>
  </si>
  <si>
    <t>1310255268001</t>
  </si>
  <si>
    <t>CEVALLOS CEDEÑO GUILLERMO RICARDO</t>
  </si>
  <si>
    <t>UNI ENDO UNIDAD DE ENDOSCOPIA DE ALTA COMPLEJIDAD</t>
  </si>
  <si>
    <t>CALLE ROTARIA S/N Y AVENIDA REALES TAMARINDOS</t>
  </si>
  <si>
    <t>0981148830</t>
  </si>
  <si>
    <t>guillermocevallosc@hotmail.com</t>
  </si>
  <si>
    <t>GUILLERMO RICARDO CEVALLOS CEDEÑO</t>
  </si>
  <si>
    <t>1310255268</t>
  </si>
  <si>
    <t>1756782114001</t>
  </si>
  <si>
    <t>DIAZ PEREZ CARLOS ALBERTO</t>
  </si>
  <si>
    <t>CENTRO DE ESPECIALIDADES D DÍAZ</t>
  </si>
  <si>
    <t>AVE. 5 DE JUNIO, PASO LATERAL BY PASS 1</t>
  </si>
  <si>
    <t>0962985950</t>
  </si>
  <si>
    <t>centro.de.especialidades.d.diaz@gmail.com</t>
  </si>
  <si>
    <t>CARLOS ALBERTO DIAZ PEREZ</t>
  </si>
  <si>
    <t>1756782114</t>
  </si>
  <si>
    <t>1391792263001</t>
  </si>
  <si>
    <t>GINE&amp;ASOCIADOS S.A.</t>
  </si>
  <si>
    <t>LABORATORIO GINE Y ASOCIADOS</t>
  </si>
  <si>
    <t>CALLE ROTARIA Y AVENIDA REALES TAMARINDO</t>
  </si>
  <si>
    <t>0992611046</t>
  </si>
  <si>
    <t>comp.argo.gine.mil@hotmail.com</t>
  </si>
  <si>
    <t>BELLA CONSUELO ROBLES JARA</t>
  </si>
  <si>
    <t>13001111082</t>
  </si>
  <si>
    <t>1360008370001</t>
  </si>
  <si>
    <t>HOSPITAL PROVINCIAL DE PORTOVIEJO DR. VERDI CEVALLOS BALDA</t>
  </si>
  <si>
    <t>HOSPITAL DR VERDI CEVALLOS BALDA</t>
  </si>
  <si>
    <t>CALLE AV GUAYAQUIL Y CALLE ELOY ALFARO</t>
  </si>
  <si>
    <t>0980872551</t>
  </si>
  <si>
    <t>katherine.moreira@hpvc.gob.ec</t>
  </si>
  <si>
    <t>MARCELO ANTONIO DAZA ALVARADO</t>
  </si>
  <si>
    <t>1304986167</t>
  </si>
  <si>
    <t>12-15-DPM-087</t>
  </si>
  <si>
    <t>1307201762001</t>
  </si>
  <si>
    <t>UBILLUS SALTOS LUPITA XIMENA</t>
  </si>
  <si>
    <t>LABORATORIO CLÍNICO SAN LÁZARO</t>
  </si>
  <si>
    <t>Ciudadela Municipal, Calle Carlos Emilio Solorzano y Vicente Mendoza</t>
  </si>
  <si>
    <t>0983358633</t>
  </si>
  <si>
    <t>luxiubsa@hotmail.com</t>
  </si>
  <si>
    <t>LUPITA XIMENA UBILLÚS SALTOS</t>
  </si>
  <si>
    <t>1307201762</t>
  </si>
  <si>
    <t>1311457418001</t>
  </si>
  <si>
    <t>MENDIETA CHINGA ALEX DARIO</t>
  </si>
  <si>
    <t>MENDIETA DENTAL</t>
  </si>
  <si>
    <t>Av,25 de Mayo y calle38</t>
  </si>
  <si>
    <t>0962617392</t>
  </si>
  <si>
    <t>od.dariomendieta@outlook.es</t>
  </si>
  <si>
    <t>Alex Darío Mendieta Chinga</t>
  </si>
  <si>
    <t>1311457418</t>
  </si>
  <si>
    <t>1391867166001</t>
  </si>
  <si>
    <t>ALAVACABRERA S.A.</t>
  </si>
  <si>
    <t>SALUD AMIGA</t>
  </si>
  <si>
    <t>12 DE MARZO 1 y ROCAFUERTE</t>
  </si>
  <si>
    <t>0999187572</t>
  </si>
  <si>
    <t>guidoalava@hotmail.com</t>
  </si>
  <si>
    <t>GUIDO ALEXANDER ALAVA LOOR</t>
  </si>
  <si>
    <t>1391867166</t>
  </si>
  <si>
    <t>ACESS-2024-Z04-0215564</t>
  </si>
  <si>
    <t>1300856398001</t>
  </si>
  <si>
    <t>PARRAGA MACIAS MILTON ALFONSO</t>
  </si>
  <si>
    <t>CONSULTORIO DR MILTON PARRAGA</t>
  </si>
  <si>
    <t>Calle los Alamos S/n y Tiburcio Macías</t>
  </si>
  <si>
    <t>0996770770</t>
  </si>
  <si>
    <t>miltonparraga@yahoo.es</t>
  </si>
  <si>
    <t>Milton Alfonso Párraga Macías</t>
  </si>
  <si>
    <t>1300856398</t>
  </si>
  <si>
    <t>ACESS-2025-Z04-0226919</t>
  </si>
  <si>
    <t>0992493534001</t>
  </si>
  <si>
    <t>MACROSALUD S.A.</t>
  </si>
  <si>
    <t>CENTRO RADIOLÓGICO CERID</t>
  </si>
  <si>
    <t>CALLE RUBEN DARIO MORALES Y SIMON BUSTAMANTE</t>
  </si>
  <si>
    <t>0985994786</t>
  </si>
  <si>
    <t>kenia.avila@cerid.com.ec</t>
  </si>
  <si>
    <t>JUAN CARLOS RODRIGUEZ DELGADO</t>
  </si>
  <si>
    <t>1305978171</t>
  </si>
  <si>
    <t>CALLE RUBEN DARIO MORALES Y FELIPE CAICEDO</t>
  </si>
  <si>
    <t>0900572108001</t>
  </si>
  <si>
    <t>ORTIZ ORDOÑEZ JOHNNY WALTER</t>
  </si>
  <si>
    <t>UNIMEDICA ORTIZ</t>
  </si>
  <si>
    <t>AVENIDA MANABI ENTRE LOS PINOS Y LOS MIRTOS</t>
  </si>
  <si>
    <t>0998171546</t>
  </si>
  <si>
    <t>jwortizec@yahoo.com</t>
  </si>
  <si>
    <t>JOHNNY WALTER ORTIZ ORDOÑEZ</t>
  </si>
  <si>
    <t>9,00572E+11</t>
  </si>
  <si>
    <t>1716707953001</t>
  </si>
  <si>
    <t>YANG HUI CHEN</t>
  </si>
  <si>
    <t>CENTRO ODONTOLÓGICO DRA JENNY YANG</t>
  </si>
  <si>
    <t>Calle Quito entre Av Manabí y García Moreno</t>
  </si>
  <si>
    <t>0992165495</t>
  </si>
  <si>
    <t>yangjenny823@hotmail.com</t>
  </si>
  <si>
    <t>Hui Chen Yang</t>
  </si>
  <si>
    <t>1716707953</t>
  </si>
  <si>
    <t>1305204628001</t>
  </si>
  <si>
    <t>MENDOZA GOMEZ FELIPE WILFRIDO</t>
  </si>
  <si>
    <t>CONSULTORIO MEDICO DR FELIPE MENDOZA</t>
  </si>
  <si>
    <t>Ciudadela Pacheco Calle 1 De Mayo y DE Diciembre</t>
  </si>
  <si>
    <t>0992252989</t>
  </si>
  <si>
    <t>felipitomendoza@hotmail.com</t>
  </si>
  <si>
    <t>Felipe Wilfrido Mendoza Gomez</t>
  </si>
  <si>
    <t>1305204628</t>
  </si>
  <si>
    <t>1391781954001</t>
  </si>
  <si>
    <t>HOSPITAL CLINICO Y QUIRURGICO MANABITA S.A MANAHOSPITAL</t>
  </si>
  <si>
    <t>MANAHOSPITAL</t>
  </si>
  <si>
    <t>AV. MANABI GUILLEM PASO LATERAL</t>
  </si>
  <si>
    <t>0999015410</t>
  </si>
  <si>
    <t>edificiomanahospital@gmail.com</t>
  </si>
  <si>
    <t>VICENTE DANIEL MANUEL VILLACRESES PALOMEQUE</t>
  </si>
  <si>
    <t>1306778950</t>
  </si>
  <si>
    <t>1309145587001</t>
  </si>
  <si>
    <t>ORTIZ GARCIA MARIXA MISNEYI</t>
  </si>
  <si>
    <t>LABORATORIO CLÍNICO LÓPEZ</t>
  </si>
  <si>
    <t>San Plácido, avenida oliva Miranda y Antonio Moreira , 100 metros antes de llegar a centro de salud</t>
  </si>
  <si>
    <t>0992011807</t>
  </si>
  <si>
    <t>misisortiz@yahoo.com</t>
  </si>
  <si>
    <t>Marixa ORTIZ GARCÍA</t>
  </si>
  <si>
    <t>1309145587</t>
  </si>
  <si>
    <t>1304072521001</t>
  </si>
  <si>
    <t>GARCIA SALTOS JOSE IGNACIO</t>
  </si>
  <si>
    <t>CLÍNICA VIRGEN DE GUADALUPE</t>
  </si>
  <si>
    <t>Av Bolivariana 3 de mayo y mexico</t>
  </si>
  <si>
    <t>0994540563</t>
  </si>
  <si>
    <t>ignaciogarciasaltos@hotmail.com</t>
  </si>
  <si>
    <t>José Ignacio García Saltos</t>
  </si>
  <si>
    <t>1304072521</t>
  </si>
  <si>
    <t>1305527887001</t>
  </si>
  <si>
    <t>GARCIA SALTOS CARLOS ALFONSO</t>
  </si>
  <si>
    <t>CLINICA GARCIA</t>
  </si>
  <si>
    <t>CESAR HONORIO VILLAVICENCIO Y LEONEL CEDEÑO</t>
  </si>
  <si>
    <t>0994482776</t>
  </si>
  <si>
    <t>clinicgar@hotmail.com</t>
  </si>
  <si>
    <t>CARLOS ALFONSO GARCIA SALTOS</t>
  </si>
  <si>
    <t>1305527887</t>
  </si>
  <si>
    <t>GADPM-SUIA-2024-CA-0564</t>
  </si>
  <si>
    <t>1314674456001</t>
  </si>
  <si>
    <t>ASANZA HERNANDEZ JULIO ENRIQUE</t>
  </si>
  <si>
    <t>LABORATORIO MH LAB</t>
  </si>
  <si>
    <t>Calle Córdova y Quito, frente a Comercial Casanova</t>
  </si>
  <si>
    <t>0968294049</t>
  </si>
  <si>
    <t>info@mhlab.com.ec</t>
  </si>
  <si>
    <t>JULIO ENRIQUE ASANZA HERNÁNDEZ</t>
  </si>
  <si>
    <t>1314674456</t>
  </si>
  <si>
    <t>1303581910001</t>
  </si>
  <si>
    <t>SEGOVIA MEDINA ROBINSON ALBERTO</t>
  </si>
  <si>
    <t>CONSULTORIO MÉDICO PODOMEDIC</t>
  </si>
  <si>
    <t>Av. 15 de abril calle abdon calderon</t>
  </si>
  <si>
    <t>0994679267</t>
  </si>
  <si>
    <t>robinsonsegovia@hotmail.com</t>
  </si>
  <si>
    <t>Robinson Segovia Medina</t>
  </si>
  <si>
    <t>1303581910</t>
  </si>
  <si>
    <t>1360086920001</t>
  </si>
  <si>
    <t>HOSPITAL DE ESPECIALIDADES PORTOVIEJO</t>
  </si>
  <si>
    <t>AVENIDA 15 DE ABRIL Y CALLE URUGUAY</t>
  </si>
  <si>
    <t>0523703100</t>
  </si>
  <si>
    <t>gerencia@hep.gob.ec</t>
  </si>
  <si>
    <t>CARLOS DJAMAR ZAMBRANO VERA</t>
  </si>
  <si>
    <t>920919784</t>
  </si>
  <si>
    <t>MAE-RA-2018-379863</t>
  </si>
  <si>
    <t>1360052190001</t>
  </si>
  <si>
    <t>HOSPITAL GENERAL - PORTOVIEJO</t>
  </si>
  <si>
    <t>HOSPITAL GENERAL PORTOVIEJO IESS</t>
  </si>
  <si>
    <t>Av. Manabí</t>
  </si>
  <si>
    <t>052564700</t>
  </si>
  <si>
    <t>serviciosg.hgportoviejo@iess.gob.ec</t>
  </si>
  <si>
    <t>MARCELO ANDRES CADENA VELEZ</t>
  </si>
  <si>
    <t>1310077282</t>
  </si>
  <si>
    <t>SUIA-03-2022-MAAE-OTPO-DZDM-00025</t>
  </si>
  <si>
    <t>1391724462001</t>
  </si>
  <si>
    <t>LAB-CENTRO PALACIO CIA. LTDA.</t>
  </si>
  <si>
    <t>LABORATORIO PALACIO ALCC</t>
  </si>
  <si>
    <t>CDLA LOS PINOS CALLE RIO AMAZONAS Y AV MANABI</t>
  </si>
  <si>
    <t>0994074077</t>
  </si>
  <si>
    <t>labcentropalacio@yahoo.com</t>
  </si>
  <si>
    <t>ANA LUCIA LOOR VELEZ</t>
  </si>
  <si>
    <t>1307868347</t>
  </si>
  <si>
    <t>1391719949001</t>
  </si>
  <si>
    <t>JUNTA PROVINCIAL DE LA CRUZ ROJA DE MANABI</t>
  </si>
  <si>
    <t>JUNTA PROVINCIAL DE LA CRUZ ROJA DE MANABÍ</t>
  </si>
  <si>
    <t>Calle Sucre entre Espejo y Juan Montalvo</t>
  </si>
  <si>
    <t>0967080871</t>
  </si>
  <si>
    <t>rmera@manabi.cruzrija.org.ec</t>
  </si>
  <si>
    <t>Nelson Miled Muñoz Tumq</t>
  </si>
  <si>
    <t>1306391531</t>
  </si>
  <si>
    <t>1360059520001</t>
  </si>
  <si>
    <t>CENTRO DE SALUD B PORTOVIEJO</t>
  </si>
  <si>
    <t>CENTRO DE SALUD B PORTOVIEJO IESS</t>
  </si>
  <si>
    <t>Calle Colon y Olmedo</t>
  </si>
  <si>
    <t>0987459756</t>
  </si>
  <si>
    <t>csbportoviejo@iess.gob.ec</t>
  </si>
  <si>
    <t>María José García Cedeño</t>
  </si>
  <si>
    <t>1311453169</t>
  </si>
  <si>
    <t>SUIA-07-2024-MAATE-OTPO-DZDM-RGD-0004</t>
  </si>
  <si>
    <t>MAATE-RA-2024-507419</t>
  </si>
  <si>
    <t>1304664178001</t>
  </si>
  <si>
    <t>Saltos Briones Nancy Amparo</t>
  </si>
  <si>
    <t>SERVICIOS DE IMAGENOLOGÍA SAN JUAN BOSCO</t>
  </si>
  <si>
    <t>Cdla. Comercio, Jipijapa S/N. 5ta Paralela y 3era transversal</t>
  </si>
  <si>
    <t>0995139942</t>
  </si>
  <si>
    <t>nasb27@hotmail.com</t>
  </si>
  <si>
    <t>Nancy Amparo Saltos Briones</t>
  </si>
  <si>
    <t>1304664178</t>
  </si>
  <si>
    <t>0992542462001</t>
  </si>
  <si>
    <t>LABSERVICES S.A.</t>
  </si>
  <si>
    <t>INTERLAB</t>
  </si>
  <si>
    <t>ROCAFUERTE ENTRE AV GUAYAQUIL Y BOLIVAR</t>
  </si>
  <si>
    <t>0999459969</t>
  </si>
  <si>
    <t>contabilidadmanabi@interlabsa.com</t>
  </si>
  <si>
    <t>JORGE EDUARDO MACIAS LOOR</t>
  </si>
  <si>
    <t>1302271828</t>
  </si>
  <si>
    <t>GADPM-SUIA-2021-CA-0844</t>
  </si>
  <si>
    <t>Av Reales Tamarindos y Av Rotaria, Centro Médico Ceibos, junto al Centro de Eventos Girasoles</t>
  </si>
  <si>
    <t>AV JORGE WASHINGTON Y AMERICA ESQUINA DIAGONAL A PASEO SHOPPING</t>
  </si>
  <si>
    <t>AV MANABI S/N ENTRE TENNIS CLUB Y LA LIBERTAD</t>
  </si>
  <si>
    <t>CENTRO DE SALUD KILOMETRO 90</t>
  </si>
  <si>
    <t>CARRETERA VIA PACHINCHE SAN PLACIDO</t>
  </si>
  <si>
    <t>0998091939</t>
  </si>
  <si>
    <t>yohnny.toala@mspz4.gob.ecyohnny.toala@mspz4.gob.ec</t>
  </si>
  <si>
    <t>AURA JOHANNA LOPEZ ZAMBRANO</t>
  </si>
  <si>
    <t>1313724070</t>
  </si>
  <si>
    <t>1310011992001</t>
  </si>
  <si>
    <t>ARTEAGA MOREIRA CECILIA LEANDRI</t>
  </si>
  <si>
    <t>CENTRO RADIOLOGICO CRISTO REY - ( C.M.ZAMART)</t>
  </si>
  <si>
    <t>Paso lateral entre Pedro Zambrano y Cristóbal Azúa</t>
  </si>
  <si>
    <t>0997389940</t>
  </si>
  <si>
    <t>smzamart@gmail.com</t>
  </si>
  <si>
    <t>Cecilia Leandri Arteaga Moreira</t>
  </si>
  <si>
    <t>1310011992</t>
  </si>
  <si>
    <t>1315889095001</t>
  </si>
  <si>
    <t>VERA PARRAGA NATHALY BELEN</t>
  </si>
  <si>
    <t>LABORATORIO CLÍNICO VITALIS</t>
  </si>
  <si>
    <t>Calleón Robles entre Av. Manabí y Pedro Zambrano</t>
  </si>
  <si>
    <t>0981655544</t>
  </si>
  <si>
    <t>belen-9592@live.com</t>
  </si>
  <si>
    <t>Nathaly Belén Vera Paárraga</t>
  </si>
  <si>
    <t>1315889095</t>
  </si>
  <si>
    <t>CENTRO DE SALUD SAN PABLO</t>
  </si>
  <si>
    <t>CALLE SAN RAFAEL Y FRANCISCO DE P MOREIRA</t>
  </si>
  <si>
    <t>CENTRO DE SALUD EL RODEO</t>
  </si>
  <si>
    <t>ENTRADA SITIO AL RODEO EN LA Y DE RIOCHICO</t>
  </si>
  <si>
    <t>CENTRO DE SALUD PICOAZA</t>
  </si>
  <si>
    <t>JUAN MONTALVO, ENTRE ELOY ALFARO Y VENEZUELA</t>
  </si>
  <si>
    <t>CENTRO DE SALUD LA ENCANTADA</t>
  </si>
  <si>
    <t>VIA AL CANTON JUNIN</t>
  </si>
  <si>
    <t>CENTRO DE SALUD CAÑALES</t>
  </si>
  <si>
    <t>VIA PRINCIPAL, CHIRIJO PORTOVIEJO</t>
  </si>
  <si>
    <t>CENTRO DE SALUD PORTOVIEJO</t>
  </si>
  <si>
    <t>SUCRE, ROCAFUERTE Y MORALES</t>
  </si>
  <si>
    <t>CENTRO DE SALUD CDP CARCEL DE MUJERES</t>
  </si>
  <si>
    <t>CALLE MARISCAL AYACUCHO</t>
  </si>
  <si>
    <t>CENTRO DE SALUD SAN PLACIDO</t>
  </si>
  <si>
    <t>AVENIDA OLINDA GUARANDA CALLE PRINCIPAL A SAN PLACIDO</t>
  </si>
  <si>
    <t>CENTRO DE SALUD SAN CRISTOBAL</t>
  </si>
  <si>
    <t>CIUDADELA LUZ DE AMERICA Y ATANASIO SANTOS</t>
  </si>
  <si>
    <t>CENTRO DE SALUD SAN PEDRO</t>
  </si>
  <si>
    <t>CALLE SAN PEDRO</t>
  </si>
  <si>
    <t>CENTRO DE SALUD SAN ALEJO</t>
  </si>
  <si>
    <t>JACINTO KON, PROLONGACION DE LA AVENIDA DEL EJERCITO</t>
  </si>
  <si>
    <t>CENTRO DE SALUD RIO CHICO</t>
  </si>
  <si>
    <t>24 DE MAYO, RIO CHICO</t>
  </si>
  <si>
    <t>CENTRO DE SALUD PUEBLO NUEVO</t>
  </si>
  <si>
    <t>VIA AL CANTON JUNIN, PUEBLO NUEVO</t>
  </si>
  <si>
    <t>1391709811001</t>
  </si>
  <si>
    <t>UNIVERSIDAD PARTICULAR SAN GREGORIO DE PORTOVIEJO</t>
  </si>
  <si>
    <t>UNIVERSIDAD SAN GREGORIO DE PORTOVIEJO</t>
  </si>
  <si>
    <t>Av. Olimpica y Av. Metropolina</t>
  </si>
  <si>
    <t>0986126791</t>
  </si>
  <si>
    <t>fmpalma@sangregorio.edu.ec</t>
  </si>
  <si>
    <t>Jaime Alfredo Alarcon Zambrano</t>
  </si>
  <si>
    <t>1302102882</t>
  </si>
  <si>
    <t>SUIA-12-2019-MAE-CGZ4-DPAM-00102</t>
  </si>
  <si>
    <t>1360002090001</t>
  </si>
  <si>
    <t>UNIVERSIDAD TECNICA DE MANABI</t>
  </si>
  <si>
    <t>UNIVERSIDAD TÉCNICA DE MANABÍ</t>
  </si>
  <si>
    <t>che Guevara y avenida Urbina</t>
  </si>
  <si>
    <t>0991516057</t>
  </si>
  <si>
    <t>ricardo.bowen@utm.edu.ec</t>
  </si>
  <si>
    <t>Luis Santiago Fernández Quiroz</t>
  </si>
  <si>
    <t>1309684346</t>
  </si>
  <si>
    <t>CENTRO DE SALUD PIÑONADA</t>
  </si>
  <si>
    <t>KILOMETRO CUATRO Y MEDIO VIA A MANTA Y PRIMERA TRANSVERSAL</t>
  </si>
  <si>
    <t>1391804792001</t>
  </si>
  <si>
    <t>SEGURIDAD BERMUDEZ &amp; BERMUDEZ CIA. LTDA.</t>
  </si>
  <si>
    <t>DEPARTAMENTO MEDICO</t>
  </si>
  <si>
    <t>AUTOPISTA MANABI GUILLEN Y INTERSECCION.5 DE JUNIO</t>
  </si>
  <si>
    <t>0939747287</t>
  </si>
  <si>
    <t>contabilidad@bybsecurity.com</t>
  </si>
  <si>
    <t>PAOLA YOCASTA BERMUDEZ MENDOZA</t>
  </si>
  <si>
    <t>1308717253</t>
  </si>
  <si>
    <t>CENTRO DE SALUD PIMPIGUASI</t>
  </si>
  <si>
    <t>CARRETERA VIA A CALDERON</t>
  </si>
  <si>
    <t>CENTRO DE SALUD PALMAS JUNTAS</t>
  </si>
  <si>
    <t>CARRETERA VIA A PACHINCHE KILOMETRO 42 SAN PLACIDO</t>
  </si>
  <si>
    <t>CENTRO DE SALUD PACHECO</t>
  </si>
  <si>
    <t>ELOY ALFARO Y MARIA INMACULADA</t>
  </si>
  <si>
    <t>CENTRO DE SALUD NUEVO PORTOVIEJO</t>
  </si>
  <si>
    <t>KILOMETRO 7 Y 12 SECTOR BARRIO FATIMA</t>
  </si>
  <si>
    <t>CENTRO DE SALUD MEJIA</t>
  </si>
  <si>
    <t>VIA A CRUCITA SITIO MEJIA</t>
  </si>
  <si>
    <t>CENTRO DE SALUD LOS TAMARINDOS</t>
  </si>
  <si>
    <t>CALLE JIPIJAPA Y CHONE</t>
  </si>
  <si>
    <t>CENTRO DE SALUD LOS ANGELES DE COLON</t>
  </si>
  <si>
    <t>SITIO LOS ANGELES VIA A PACHINCHE</t>
  </si>
  <si>
    <t>CENTRO DE SALUD PRIMERO DE MAYO</t>
  </si>
  <si>
    <t>AVENIDA REALES TAMARINDOS CIUDADELA SAN CRISTOBAL</t>
  </si>
  <si>
    <t>CENTRO DE SALUD ANDRES DE VERA</t>
  </si>
  <si>
    <t>ANDRES DE VERA</t>
  </si>
  <si>
    <t>CENTRO DE SALUD ALHAJUELA</t>
  </si>
  <si>
    <t>BARRIO SAN JOSE</t>
  </si>
  <si>
    <t>CENTRO DE SALUD LOS ARENALES</t>
  </si>
  <si>
    <t>VIRGEN DE LOURDES</t>
  </si>
  <si>
    <t>CENTRO DE SALUD BELLAVISTA</t>
  </si>
  <si>
    <t>CIUDADELA BELLAVISTA PORTOVIEJO</t>
  </si>
  <si>
    <t>1350038798001</t>
  </si>
  <si>
    <t>SALDARRIAGA ALCIVAR MARIA FERNANDA</t>
  </si>
  <si>
    <t>LABORATORIO CLINICO MAYELAB</t>
  </si>
  <si>
    <t>Paulino Sabando y Vicente Macias</t>
  </si>
  <si>
    <t>0996451113</t>
  </si>
  <si>
    <t>fernanda.saldarriaga.alcivar@gmail.com</t>
  </si>
  <si>
    <t>María fernanda Saldarriaga alcivar</t>
  </si>
  <si>
    <t>1350038798</t>
  </si>
  <si>
    <t>CENTRO DE SALUD ABDON CALDERON</t>
  </si>
  <si>
    <t>ABDON CALDERON, SAN FRANCISCO</t>
  </si>
  <si>
    <t>CONSULTORIO MENDIETA DENTAL</t>
  </si>
  <si>
    <t>AVENIDA 25 DE MAYO</t>
  </si>
  <si>
    <t>ALEX DARIO MENDIETA CHINGA</t>
  </si>
  <si>
    <t>CENTRO DE SALUD CHIRIJOS</t>
  </si>
  <si>
    <t>VIA JESUS MARIA</t>
  </si>
  <si>
    <t>CENTRO DE SALUD COLON</t>
  </si>
  <si>
    <t>LOS ANGELES DE COLON CALLE 10 DE AGOSTO</t>
  </si>
  <si>
    <t>CENTRO DE SALUD CRUCITA</t>
  </si>
  <si>
    <t>CALLE 25 DE JUNIO</t>
  </si>
  <si>
    <t>CENTRO DE SALUD EL FLORON</t>
  </si>
  <si>
    <t>FLORON 4, CALLE 4 DE DICIEMBRE</t>
  </si>
  <si>
    <t>CENTRO DE SALUD EL LIMON</t>
  </si>
  <si>
    <t>CALLE HOLGER PARRAGA Y FULTON FERNANDEZ</t>
  </si>
  <si>
    <t>CENTRO DE SALUD EL PROGRESO</t>
  </si>
  <si>
    <t>CIUDADELA PROGRESO</t>
  </si>
  <si>
    <t>CENTRO DE SALUD ESTANCIA VIEJA</t>
  </si>
  <si>
    <t>VIA SANTA ANA KILOMETRO 11</t>
  </si>
  <si>
    <t>CENTRO DE SALUD NARANJO</t>
  </si>
  <si>
    <t>BARRIO SAN ROQUE</t>
  </si>
  <si>
    <t>CENTRO DE SALUD FATIMA</t>
  </si>
  <si>
    <t>CIUDADELA FATIMA 4 ESQUINAS Y 10 DE AGOSTO</t>
  </si>
  <si>
    <t>CENTRO DE SALUD LA BALSITA</t>
  </si>
  <si>
    <t>SITIO BALSA RIO CHICO</t>
  </si>
  <si>
    <t>CENTRO DE SALUD CIUDADELA MUNICIPAL</t>
  </si>
  <si>
    <t>CIUDADELA MUNICIPAL, ENTRADA PRINCIPAL SIN NUMERO</t>
  </si>
  <si>
    <t>1310551179001</t>
  </si>
  <si>
    <t>MORAN ROLDAN OSWALDO BLADIMIR</t>
  </si>
  <si>
    <t>CENTRO VETERINARIO MASCOTAS CON ESTILO</t>
  </si>
  <si>
    <t>Calle Felipe Saul Morales y av. 5 de junio</t>
  </si>
  <si>
    <t>0999857024</t>
  </si>
  <si>
    <t>Mascotasconestilo2016@gmail.com</t>
  </si>
  <si>
    <t>Oswaldo Moran</t>
  </si>
  <si>
    <t>1310551179</t>
  </si>
  <si>
    <t>0704281278001</t>
  </si>
  <si>
    <t>COELLO BLACIO JOSE LUIS</t>
  </si>
  <si>
    <t>CENTRO DE CAPACITACIÓN CONSULTING GROUP</t>
  </si>
  <si>
    <t>Calle Constantino Mendoza entre Chile y Ricaurte</t>
  </si>
  <si>
    <t>0958725166</t>
  </si>
  <si>
    <t>sedeportoviejo@hotmail.com</t>
  </si>
  <si>
    <t>Jose Luis Coello Blacio</t>
  </si>
  <si>
    <t>704281278</t>
  </si>
  <si>
    <t>0911264711001</t>
  </si>
  <si>
    <t>AMBROSI RIVERA JIMMY FERNANDO</t>
  </si>
  <si>
    <t>LAS VEGAS TATTOO</t>
  </si>
  <si>
    <t>Calle Quiroga entre Rocafuerte y Mejia</t>
  </si>
  <si>
    <t>0961616634</t>
  </si>
  <si>
    <t>jaydaambrosi360@gmail.com</t>
  </si>
  <si>
    <t>Jimmy Ambrosi</t>
  </si>
  <si>
    <t>911264711</t>
  </si>
  <si>
    <t>1391931950001</t>
  </si>
  <si>
    <t>VILLARENAL S.A.</t>
  </si>
  <si>
    <t>VILLARENAL S A</t>
  </si>
  <si>
    <t>CALLE PUBLICA JUNTO A RECINTO FERIAL CAMARA DE COMERCIO PORTOVIEJO</t>
  </si>
  <si>
    <t>0986481645</t>
  </si>
  <si>
    <t>loly@villarena.com</t>
  </si>
  <si>
    <t>ENRIQUE XAVIER MARTINEZ PUGA</t>
  </si>
  <si>
    <t>914550215</t>
  </si>
  <si>
    <t>CONSULTORIO DENTAL ALDODENTAL</t>
  </si>
  <si>
    <t>CALLE MORALES Y BOLÍVAR A LOS LADOS DE BANECUADOR</t>
  </si>
  <si>
    <t>LUIS EDUARDO ALVARADO PINO</t>
  </si>
  <si>
    <t>1391725825001</t>
  </si>
  <si>
    <t>CASABA S.A.</t>
  </si>
  <si>
    <t>GRUPO LA PAZ</t>
  </si>
  <si>
    <t>Av américa y Chile , frente parque las madres</t>
  </si>
  <si>
    <t>0989925292</t>
  </si>
  <si>
    <t>kzambranoc@redlapaz.com.ec</t>
  </si>
  <si>
    <t>CUNALATA IBARRA MARUJA MARLY</t>
  </si>
  <si>
    <t>1391725825</t>
  </si>
  <si>
    <t>1316518198001</t>
  </si>
  <si>
    <t>RIVAS OSTAIZA CARMEN VANESSA</t>
  </si>
  <si>
    <t>CLINICA VETERINARIA ALPHA PET</t>
  </si>
  <si>
    <t>AVENIDA URVINA Y CALLE SAN CAYETANO</t>
  </si>
  <si>
    <t>0961040549</t>
  </si>
  <si>
    <t>vaner199213@gmail.com</t>
  </si>
  <si>
    <t>CARMEN VANESSA RIVAS OSTAIZA</t>
  </si>
  <si>
    <t>1316518198</t>
  </si>
  <si>
    <t>1306962596001</t>
  </si>
  <si>
    <t>CALERO BRIONES ROSA INES</t>
  </si>
  <si>
    <t>PORTOVIEJO MEDICAL CLINIC</t>
  </si>
  <si>
    <t>Av José María Urbina y Jorge Solorzano, Vía a Crucita km 1 1/2</t>
  </si>
  <si>
    <t>0989102021</t>
  </si>
  <si>
    <t>portoviejomedicalclinic@hotmail.com</t>
  </si>
  <si>
    <t>ROSA INES CALERO BRIONES</t>
  </si>
  <si>
    <t>1306962596</t>
  </si>
  <si>
    <t>ROCAFUERTE S/N ENTRE AV GUAYAQUIL Y BOLIVAR</t>
  </si>
  <si>
    <t>Jorge Eduardo Macias Loor</t>
  </si>
  <si>
    <t>1308704046001</t>
  </si>
  <si>
    <t>RAMOS LEON MIRIAN VERONICA</t>
  </si>
  <si>
    <t>CLÍNICA DENTAL WONDER DENTAL CARE</t>
  </si>
  <si>
    <t>AV. El Periodista, parqueadero sin salida frente a Samitravel.</t>
  </si>
  <si>
    <t>0993796152</t>
  </si>
  <si>
    <t>veronicaramle84@gmail.com</t>
  </si>
  <si>
    <t>Mirian Veronica Ramos León</t>
  </si>
  <si>
    <t>1308704046</t>
  </si>
  <si>
    <t>1316716230001</t>
  </si>
  <si>
    <t>MACIAS CEDEÑO HEIDY JOSENKA</t>
  </si>
  <si>
    <t>CONSULTORIO ODONTOLOGICO JM</t>
  </si>
  <si>
    <t>CALLE ELOY ALFARO, DIAGONAL AL MERCADO CALDERON EN CONSULTORIO JM</t>
  </si>
  <si>
    <t>0979531279</t>
  </si>
  <si>
    <t>hjmc0027@gmail.com</t>
  </si>
  <si>
    <t>HEIDY JOSENKA MACIAS CEDEÑO</t>
  </si>
  <si>
    <t>1316716230</t>
  </si>
  <si>
    <t>1391788231001</t>
  </si>
  <si>
    <t>FUNDACION LA VIDA</t>
  </si>
  <si>
    <t>cdla Libertad II, Calle Manuel Moreira y Vicente Macias</t>
  </si>
  <si>
    <t>0981923546</t>
  </si>
  <si>
    <t>asisadm.lavida@gmail.com</t>
  </si>
  <si>
    <t>MARIELA VAREN</t>
  </si>
  <si>
    <t>1312820630</t>
  </si>
  <si>
    <t>1391701349001</t>
  </si>
  <si>
    <t>ENRIQUE LOOR ZAMBRANO ENLOZA CIA. LTDA.</t>
  </si>
  <si>
    <t>LABORATORIO ENLOZA</t>
  </si>
  <si>
    <t>CALLE QUITO 347 Y AV. MANABI</t>
  </si>
  <si>
    <t>0987474672</t>
  </si>
  <si>
    <t>imagenes_enloza@hotmail.com</t>
  </si>
  <si>
    <t>RUTH MARIANA GUADAMUD SANTANA</t>
  </si>
  <si>
    <t>1301844450</t>
  </si>
  <si>
    <t>1310251861001</t>
  </si>
  <si>
    <t>PARRAGA GARABI JAZMIN DEL CARMEN</t>
  </si>
  <si>
    <t>LABORATORIO PARRAGALAB</t>
  </si>
  <si>
    <t>Av. del ejercito y jipijapa a los lados de la muebleria cuencana</t>
  </si>
  <si>
    <t>0984970030</t>
  </si>
  <si>
    <t>parragalab@gmail.com</t>
  </si>
  <si>
    <t>JAZMIN DEL CARMEN PARRAGA GARABI</t>
  </si>
  <si>
    <t>1310251861</t>
  </si>
  <si>
    <t>1302553563001</t>
  </si>
  <si>
    <t>QUIROZ RIVADENEIRA FLORIDA MARIANA</t>
  </si>
  <si>
    <t>CONSULTORIO MEDICO DE OBSTETRICIA ROFE</t>
  </si>
  <si>
    <t>Rocafuerte 437 Bolivar y Quiroga</t>
  </si>
  <si>
    <t>0984887851</t>
  </si>
  <si>
    <t>mquiroz30@hotmail.com</t>
  </si>
  <si>
    <t>Florida Mariana Quiroz Rivadeneira</t>
  </si>
  <si>
    <t>1302553563</t>
  </si>
  <si>
    <t>1312837832001</t>
  </si>
  <si>
    <t>ZAMBRANO BENAVIDES ALICIA GISSELA</t>
  </si>
  <si>
    <t>CENTRO ODONTOLÓGICO UNO DENTAL</t>
  </si>
  <si>
    <t>Cdla los tamarindos</t>
  </si>
  <si>
    <t>0981626602</t>
  </si>
  <si>
    <t>gissezambrano@hotmail.com</t>
  </si>
  <si>
    <t>Alicia Zambrano</t>
  </si>
  <si>
    <t>1312837832</t>
  </si>
  <si>
    <t>LABORATORIO CLÍNICO PARRAGALAB</t>
  </si>
  <si>
    <t>Jazmin del Carmen Párraga Garabi</t>
  </si>
  <si>
    <t>CENTRO MÉDICO INTEGRAL IMAGE</t>
  </si>
  <si>
    <t>Callejón Robles entre Callejón 15 de noviembre y calle Pedro Zambrano (Diagonal a Parrilladas Don Pinto)</t>
  </si>
  <si>
    <t>integralimage.ec@gmail.com</t>
  </si>
  <si>
    <t>Richard Pinargote</t>
  </si>
  <si>
    <t>1391924836001</t>
  </si>
  <si>
    <t>PORTALMED S.A. B.I.C.</t>
  </si>
  <si>
    <t>DRA CAROLINA PORTELA PORTALMED AESTHETIC</t>
  </si>
  <si>
    <t>Avenida manabí y Granda centeno plaza de marzo planta alta</t>
  </si>
  <si>
    <t>0968717706</t>
  </si>
  <si>
    <t>carolinaportelaweb@gmail.com</t>
  </si>
  <si>
    <t>Carolina Portela Argote</t>
  </si>
  <si>
    <t>1312409251</t>
  </si>
  <si>
    <t>1313695551001</t>
  </si>
  <si>
    <t>BAQUE VILLAFUERTE EDGAR IVAN</t>
  </si>
  <si>
    <t>LABORATORIO LAB XPRESS</t>
  </si>
  <si>
    <t>Portoviejo Calle Vicente Macías , alado iglesia Cristo del consuelo</t>
  </si>
  <si>
    <t>0962936716</t>
  </si>
  <si>
    <t>edgarbaque.m25@gmail.com</t>
  </si>
  <si>
    <t>Edgar Baque</t>
  </si>
  <si>
    <t>1313695551</t>
  </si>
  <si>
    <t>1391815859001</t>
  </si>
  <si>
    <t>UNIDAD DE DIAGNOSTICOS E IMAGENES LOOR S.A. UNIMAGENLOOR</t>
  </si>
  <si>
    <t>UNIMAGEN LOOR</t>
  </si>
  <si>
    <t>AV. REALES TAMARINDOS Número: S/N Intersección: PABLO ZAMORA</t>
  </si>
  <si>
    <t>0994400566</t>
  </si>
  <si>
    <t>unimagenloor@hotmail.com</t>
  </si>
  <si>
    <t>ZOILA TAMARA PLUA MONTERO</t>
  </si>
  <si>
    <t>1308239977</t>
  </si>
  <si>
    <t>1311012452001</t>
  </si>
  <si>
    <t>MEJIA SOLORZANO JAVIER FERNANDO</t>
  </si>
  <si>
    <t>LABORATORIO MEJLAB</t>
  </si>
  <si>
    <t>Calle 12 de marzo/ frente al hospital verdy cevallos</t>
  </si>
  <si>
    <t>0997515976</t>
  </si>
  <si>
    <t>JF.CRISTELLY@gmail.com</t>
  </si>
  <si>
    <t>Javier Mejia</t>
  </si>
  <si>
    <t>1311012452</t>
  </si>
  <si>
    <t>MEDIC LAB CENTER</t>
  </si>
  <si>
    <t>Av reales tamarindos y callejon robles</t>
  </si>
  <si>
    <t>Harry Dario Balda Zambrano</t>
  </si>
  <si>
    <t>1391934784001</t>
  </si>
  <si>
    <t>FENMED S.A.S.</t>
  </si>
  <si>
    <t>CENTRO MÉDICO FENMED SAS CRISED</t>
  </si>
  <si>
    <t>AV MANABI Y RIO AMAZONAS FRENTE A LA EMERGENCIA DEL IESS</t>
  </si>
  <si>
    <t>0999696262</t>
  </si>
  <si>
    <t>fenmedsas@gmail.com</t>
  </si>
  <si>
    <t>ANGELA ALEJANDRINA VALERIANO SANTILLAN</t>
  </si>
  <si>
    <t>1313634576</t>
  </si>
  <si>
    <t>ACESS-2024-Z04-0220289</t>
  </si>
  <si>
    <t>1307207272001</t>
  </si>
  <si>
    <t>MACIAS ESCOBAR JESUS MAGDALENA</t>
  </si>
  <si>
    <t>MAGDALENA MACIAS ESCOBAR</t>
  </si>
  <si>
    <t>AV 5 DE JUNIO VIA PICOAZA GARITA DE URBANIZACIÓN RINCÓN DEL SOL</t>
  </si>
  <si>
    <t>0988141739</t>
  </si>
  <si>
    <t>magdymes@hotmail.com</t>
  </si>
  <si>
    <t>JESUS MAGDALENA MACIAS ESCOBAR</t>
  </si>
  <si>
    <t>1307207272</t>
  </si>
  <si>
    <t>1304742990001</t>
  </si>
  <si>
    <t>RIVADENEIRA GOMEZ NELSON LEONARDO</t>
  </si>
  <si>
    <t>LABORATORIO CLINICO RIVARLAB</t>
  </si>
  <si>
    <t>CALLE CASTRO Y 30 DE SEPTIEMBRE ESQUINA</t>
  </si>
  <si>
    <t>0967930517</t>
  </si>
  <si>
    <t>mariaantonella20092016@gmail.com</t>
  </si>
  <si>
    <t>NELSON LEONARDO RIVADENEIRA GOMEZ</t>
  </si>
  <si>
    <t>1304742990</t>
  </si>
  <si>
    <t>1316480845001</t>
  </si>
  <si>
    <t>CHABLA ESPINALES BRYAN STEEVEN</t>
  </si>
  <si>
    <t>LABORATORIO HEMATOLAB</t>
  </si>
  <si>
    <t>AVENIDA URUGUAY</t>
  </si>
  <si>
    <t>0978933830</t>
  </si>
  <si>
    <t>alegton1996@gmail.com</t>
  </si>
  <si>
    <t>bryan steeven chabla espinales</t>
  </si>
  <si>
    <t>1316480845</t>
  </si>
  <si>
    <t>LABORATORIO CLÍNICO MH LAB</t>
  </si>
  <si>
    <t>NUOVA PIAZZA LOCAL 102 / AV. REALES TAMARINDOS</t>
  </si>
  <si>
    <t>LABORATORIO SANTA RITA</t>
  </si>
  <si>
    <t>Calle Chile y 18 de octubre</t>
  </si>
  <si>
    <t>1391867425001</t>
  </si>
  <si>
    <t>CLINITSANANTONIODEPADUA S.A.</t>
  </si>
  <si>
    <t>HOSPITAL DE ESPECIALIDADES SAN ANTONIO DE PADUA</t>
  </si>
  <si>
    <t>CALLE JIPIJAPA Y SEGUNDA TRANSVERSAL</t>
  </si>
  <si>
    <t>0993199343</t>
  </si>
  <si>
    <t>admisanantoniodepadua@hotmail.com</t>
  </si>
  <si>
    <t>JORGE ANTONIO SANCHEZ DELGADO</t>
  </si>
  <si>
    <t>1306217785</t>
  </si>
  <si>
    <t>MAAE-RA-2021-408255</t>
  </si>
  <si>
    <t>0992733209001</t>
  </si>
  <si>
    <t>NICANCOR S.A.</t>
  </si>
  <si>
    <t>CENTRO DE DIÁLISIS RENACER</t>
  </si>
  <si>
    <t>CALLE HONORIO VILLAVICENCIO</t>
  </si>
  <si>
    <t>0959495360</t>
  </si>
  <si>
    <t>cidportoviejo@cidlatam.com</t>
  </si>
  <si>
    <t>JORGE AUGUSTO MERA MINUCHE</t>
  </si>
  <si>
    <t>1708756323</t>
  </si>
  <si>
    <t>1391932369001</t>
  </si>
  <si>
    <t>MEDICHOP CIA.LTDA.</t>
  </si>
  <si>
    <t>CENTRO MÉDICO MEDICHOP</t>
  </si>
  <si>
    <t>10 de agosto entre Garcia Moreno y Francisco Pacheco</t>
  </si>
  <si>
    <t>0986321890</t>
  </si>
  <si>
    <t>medichop.ec@gmail.com</t>
  </si>
  <si>
    <t>Jeniffer Milena Zambrano Zambrano</t>
  </si>
  <si>
    <t>1304692328</t>
  </si>
  <si>
    <t>1391792026001</t>
  </si>
  <si>
    <t>CENTRO OFTALMOLOGICO MANABI ENACE S.A.</t>
  </si>
  <si>
    <t>CENTRO OFTALMOLOGICO ENACE SA</t>
  </si>
  <si>
    <t>AV PAULO EMILIO MACIAS Y GABRIEL MANZO QUIÑONEZ</t>
  </si>
  <si>
    <t>0983327615</t>
  </si>
  <si>
    <t>cenofenace@outlook.com</t>
  </si>
  <si>
    <t>PABLO ANDRES TORRES ROBLES</t>
  </si>
  <si>
    <t>1307373629</t>
  </si>
  <si>
    <t>1391910991001</t>
  </si>
  <si>
    <t>CLÍNICA ODONTOLÓGICA CEOM</t>
  </si>
  <si>
    <t>AV.5 DE JUNIO PLAZA EL PRADO ENTRE LA IGLESIA ESPIRITU SANTO Y LA URB.EL PRADO</t>
  </si>
  <si>
    <t>0961989823</t>
  </si>
  <si>
    <t>ceommanabi@gmail.com</t>
  </si>
  <si>
    <t>JOSE TITO ZAMBRANO HIDALGO</t>
  </si>
  <si>
    <t>1301391775</t>
  </si>
  <si>
    <t>1391841949001</t>
  </si>
  <si>
    <t>CENTRO RADIOLOGICO DENTAL RADIODENT S.A.</t>
  </si>
  <si>
    <t>CENTRO RADIOLOGICO DENTAL ALFA</t>
  </si>
  <si>
    <t>AV.MANABI CDLA LOS BOSQUES MZ.A2 VILLA 11</t>
  </si>
  <si>
    <t>0960005479</t>
  </si>
  <si>
    <t>radiologicoalfa@gmail.com</t>
  </si>
  <si>
    <t>1303959975001</t>
  </si>
  <si>
    <t>CEDEÑO ZAMBRANO TREIBEL AZUCENA</t>
  </si>
  <si>
    <t>LABORATORIO CLINICO MARCELO ESPINOLA</t>
  </si>
  <si>
    <t>Calle Rocafuerte 422 entre Bolivar y Av. Guayaquil</t>
  </si>
  <si>
    <t>0998066258</t>
  </si>
  <si>
    <t>labmarcelospinola@hotmail.com</t>
  </si>
  <si>
    <t>TREIBEL AZUCENA CEDENO ZAMBRANO</t>
  </si>
  <si>
    <t>1303959975</t>
  </si>
  <si>
    <t>ACESS-2024-Z04-0200848</t>
  </si>
  <si>
    <t>1791854616001</t>
  </si>
  <si>
    <t>SYNLAB S.A.S.</t>
  </si>
  <si>
    <t>LABORATORIO GAMMA SYNLAB</t>
  </si>
  <si>
    <t>CALLE ROCAFUERTE Y ELOY ALFARO</t>
  </si>
  <si>
    <t>0991845656</t>
  </si>
  <si>
    <t>karla.gonzalez@synlab.ec</t>
  </si>
  <si>
    <t>GABRIELA MIRANDA</t>
  </si>
  <si>
    <t>1712237542</t>
  </si>
  <si>
    <t>MAATE-RA-2025-541217</t>
  </si>
  <si>
    <t>GADPM-SUIA-2025-CA-0053</t>
  </si>
  <si>
    <t>AVENIDA MANABI S/N Y AMERICA</t>
  </si>
  <si>
    <t>0991061374</t>
  </si>
  <si>
    <t>claudia.briones@synlab.ec</t>
  </si>
  <si>
    <t>1391707460001</t>
  </si>
  <si>
    <t>INSTITUTO ECUATORIANO DE ENFERMEDADES DIGESTIVAS Y PELVICAS I.E.C.E.D. DOCTOR CARLOS ROBLES JARA Y COMPAÑIA</t>
  </si>
  <si>
    <t>CLINICA IECED HOSPITAL MADRE TERESA</t>
  </si>
  <si>
    <t>PORTOVIEJO AVENIDA REALES TAMARINDO (990 METROS ENTRANDO POR EL PASEO LATERAL)</t>
  </si>
  <si>
    <t>0968005960</t>
  </si>
  <si>
    <t>iecedmanabi@hotmail.com</t>
  </si>
  <si>
    <t>CARLOS ARTURO ROBLES JARA</t>
  </si>
  <si>
    <t>1301656904</t>
  </si>
  <si>
    <t>1390149103001</t>
  </si>
  <si>
    <t>MANADIALISIS S.A</t>
  </si>
  <si>
    <t>MANADIALISIS S A</t>
  </si>
  <si>
    <t>AV. MANABI Y FELIPE SAUL MORALES</t>
  </si>
  <si>
    <t>0994071877</t>
  </si>
  <si>
    <t>mariana.briones@davita.com</t>
  </si>
  <si>
    <t>ANA CECILIA ANDINO RUIZ</t>
  </si>
  <si>
    <t>1707404016</t>
  </si>
  <si>
    <t>SUIA-07-2017-MAE-CGZ4-DPAM-00018</t>
  </si>
  <si>
    <t>1313130880001</t>
  </si>
  <si>
    <t>ZAMBRANO CEDEÑO MARIA BELEN</t>
  </si>
  <si>
    <t>LABORATORIO CLINICO BELAB|</t>
  </si>
  <si>
    <t>AV. MANABI Y MANUEL PALOMEQUE ENTRE URBANIZACION SANTA BARBARA Y CENTRO MEDICO CEMEFAC</t>
  </si>
  <si>
    <t>0990140495</t>
  </si>
  <si>
    <t>belab_laboratorioclinico@outlook.com</t>
  </si>
  <si>
    <t>MARIA BELEN ZAMBRANO CEDEÑO</t>
  </si>
  <si>
    <t>1313130880</t>
  </si>
  <si>
    <t>1309063160001</t>
  </si>
  <si>
    <t>PACHAY SOLORZANO JORGE WASHINGTON</t>
  </si>
  <si>
    <t>LABORATORIO CLINICO SIGMA</t>
  </si>
  <si>
    <t>Av. MANABI Y MANUEL PALOMEQUE</t>
  </si>
  <si>
    <t>0992081084</t>
  </si>
  <si>
    <t>sigmalaboratorioclinic@gmail.com</t>
  </si>
  <si>
    <t>Jorge Washington Pachay Solórzano</t>
  </si>
  <si>
    <t>1309063160</t>
  </si>
  <si>
    <t>ZURITA Y ZURITA LABORATORIOS</t>
  </si>
  <si>
    <t>REALES TAMARINDOS Y PEDRO CEVALLOS</t>
  </si>
  <si>
    <t>0979232909</t>
  </si>
  <si>
    <t>dianagonzalez@zuritalaboratorios.com</t>
  </si>
  <si>
    <t>Camilo Sebastian Zurita Salinas</t>
  </si>
  <si>
    <t>1391721447001</t>
  </si>
  <si>
    <t>ASOCIACION MEDICA RENAL PORTOVIEJO ASMERP S.A.</t>
  </si>
  <si>
    <t>METRODIAL</t>
  </si>
  <si>
    <t>Autopista Manabi Guillen y callejon Las Piedras</t>
  </si>
  <si>
    <t>0992748861</t>
  </si>
  <si>
    <t>administracion.portoviejo@clinicametrodial.com</t>
  </si>
  <si>
    <t>MAE-RA-2014-88390</t>
  </si>
  <si>
    <t>1350235626001</t>
  </si>
  <si>
    <t>CAGUA NAPA JENNIFER LISBETH</t>
  </si>
  <si>
    <t>CENTRO VETERINARIO MANABI</t>
  </si>
  <si>
    <t>Calle Cesar Chavez y Av Chile</t>
  </si>
  <si>
    <t>0981064308</t>
  </si>
  <si>
    <t>centroveterinariomanabi@gmail.com</t>
  </si>
  <si>
    <t>Jennifer Cagua Napa</t>
  </si>
  <si>
    <t>150235626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</si>
</sst>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rgb="FFFFFFFF"/>
      <name val="Arial"/>
      <scheme val="minor"/>
    </font>
    <font>
      <color theme="1"/>
      <name val="Arial"/>
      <scheme val="minor"/>
    </font>
    <font>
      <b/>
      <color theme="1"/>
      <name val="Arial"/>
      <scheme val="minor"/>
    </font>
    <font>
      <sz val="12.0"/>
      <color rgb="FF000000"/>
      <name val="Calibri"/>
    </font>
  </fonts>
  <fills count="4">
    <fill>
      <patternFill patternType="none"/>
    </fill>
    <fill>
      <patternFill patternType="lightGray"/>
    </fill>
    <fill>
      <patternFill patternType="solid">
        <fgColor rgb="FF38761D"/>
        <bgColor rgb="FF38761D"/>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Border="1" applyFont="1"/>
    <xf borderId="0" fillId="0" fontId="2" numFmtId="0" xfId="0" applyFont="1"/>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3" fontId="2" numFmtId="0" xfId="0" applyAlignment="1" applyFill="1" applyFont="1">
      <alignment readingOrder="0" shrinkToFit="0" vertical="center" wrapText="0"/>
    </xf>
    <xf borderId="0" fillId="0" fontId="2" numFmtId="0" xfId="0" applyAlignment="1" applyFont="1">
      <alignment readingOrder="0" shrinkToFit="0" vertical="center" wrapText="0"/>
    </xf>
    <xf quotePrefix="1"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4" numFmtId="11" xfId="0" applyAlignment="1" applyFont="1" applyNumberFormat="1">
      <alignment readingOrder="0" shrinkToFit="0" vertical="bottom" wrapText="0"/>
    </xf>
    <xf borderId="0" fillId="3"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49" xfId="0" applyAlignment="1" applyFont="1" applyNumberFormat="1">
      <alignment readingOrder="0" shrinkToFit="0" vertical="bottom" wrapText="0"/>
    </xf>
    <xf borderId="0" fillId="0" fontId="4" numFmtId="49" xfId="0" applyAlignment="1" applyFont="1" applyNumberFormat="1">
      <alignment horizontal="right" readingOrder="0" shrinkToFit="0" vertical="bottom" wrapText="0"/>
    </xf>
    <xf borderId="0" fillId="0" fontId="4" numFmtId="0" xfId="0" applyAlignment="1" applyFont="1">
      <alignment shrinkToFit="0" vertical="bottom" wrapText="0"/>
    </xf>
    <xf borderId="0" fillId="3" fontId="4" numFmtId="11" xfId="0" applyAlignment="1" applyFont="1" applyNumberFormat="1">
      <alignment readingOrder="0" shrinkToFit="0" vertical="bottom"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526" displayName="Form_Responses" name="Form_Responses" id="1">
  <autoFilter ref="$A$1:$O$526"/>
  <tableColumns count="15">
    <tableColumn name="Marca temporal" id="1"/>
    <tableColumn name="RUC (Compañía o Persona Natural) " id="2"/>
    <tableColumn name="Razón Social  " id="3"/>
    <tableColumn name="Nombre Comercial  " id="4"/>
    <tableColumn name="Dirección de Recolección  " id="5"/>
    <tableColumn name="Parroquia  " id="6"/>
    <tableColumn name="Teléfono  " id="7"/>
    <tableColumn name="Email  " id="8"/>
    <tableColumn name="Frecuencia de Recolección  " id="9"/>
    <tableColumn name="Representante Legal  " id="10"/>
    <tableColumn name="Cédula Representante Legal  " id="11"/>
    <tableColumn name="Reg. Generador de Desechos (En caso de contar)  " id="12"/>
    <tableColumn name="Licencia o Certificado Ambiental (En caso de contar)  " id="13"/>
    <tableColumn name="Archivo de Registro de Generador de Desechos o Licencia Ambiental  " id="14"/>
    <tableColumn name="  Autorización de uso de datos  " id="15"/>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25"/>
    <col customWidth="1" min="3" max="3" width="33.13"/>
    <col customWidth="1" min="4" max="4" width="56.13"/>
    <col customWidth="1" min="5" max="5" width="38.88"/>
    <col customWidth="1" min="6" max="7" width="18.88"/>
    <col customWidth="1" min="8" max="8" width="37.25"/>
    <col customWidth="1" min="9" max="9" width="25.5"/>
    <col customWidth="1" min="10" max="10" width="21.0"/>
    <col customWidth="1" min="11" max="11" width="30.25"/>
    <col customWidth="1" min="12" max="14" width="37.63"/>
    <col customWidth="1" min="15" max="15" width="28.0"/>
    <col customWidth="1" min="16" max="21" width="18.88"/>
  </cols>
  <sheetData>
    <row r="1" ht="22.5" customHeight="1">
      <c r="A1" s="4" t="s">
        <v>4</v>
      </c>
      <c r="B1" s="4" t="s">
        <v>5</v>
      </c>
      <c r="C1" s="4" t="s">
        <v>6</v>
      </c>
      <c r="D1" s="5" t="s">
        <v>7</v>
      </c>
      <c r="E1" s="4" t="s">
        <v>8</v>
      </c>
      <c r="F1" s="4" t="s">
        <v>9</v>
      </c>
      <c r="G1" s="4" t="s">
        <v>10</v>
      </c>
      <c r="H1" s="4" t="s">
        <v>11</v>
      </c>
      <c r="I1" s="4" t="s">
        <v>12</v>
      </c>
      <c r="J1" s="4" t="s">
        <v>13</v>
      </c>
      <c r="K1" s="4" t="s">
        <v>14</v>
      </c>
      <c r="L1" s="4" t="s">
        <v>15</v>
      </c>
      <c r="M1" s="4" t="s">
        <v>16</v>
      </c>
      <c r="N1" s="4" t="s">
        <v>17</v>
      </c>
      <c r="O1" s="4" t="s">
        <v>18</v>
      </c>
    </row>
    <row r="2" ht="22.5" customHeight="1">
      <c r="A2" s="6">
        <v>46118.41668064815</v>
      </c>
      <c r="B2" s="7" t="s">
        <v>19</v>
      </c>
      <c r="C2" s="8" t="s">
        <v>20</v>
      </c>
      <c r="D2" s="9" t="s">
        <v>21</v>
      </c>
      <c r="E2" s="9" t="s">
        <v>22</v>
      </c>
      <c r="F2" s="9" t="s">
        <v>23</v>
      </c>
      <c r="G2" s="7" t="s">
        <v>24</v>
      </c>
      <c r="H2" s="9" t="s">
        <v>25</v>
      </c>
      <c r="I2" s="9" t="s">
        <v>26</v>
      </c>
      <c r="J2" s="9" t="s">
        <v>27</v>
      </c>
      <c r="K2" s="7" t="s">
        <v>28</v>
      </c>
      <c r="O2" s="9" t="s">
        <v>29</v>
      </c>
    </row>
    <row r="3" ht="22.5" customHeight="1">
      <c r="A3" s="6">
        <v>46118.467015138885</v>
      </c>
      <c r="B3" s="7" t="s">
        <v>30</v>
      </c>
      <c r="C3" s="8" t="s">
        <v>31</v>
      </c>
      <c r="D3" s="9" t="s">
        <v>32</v>
      </c>
      <c r="E3" s="9" t="s">
        <v>33</v>
      </c>
      <c r="F3" s="9" t="s">
        <v>34</v>
      </c>
      <c r="G3" s="7" t="s">
        <v>35</v>
      </c>
      <c r="H3" s="9" t="s">
        <v>36</v>
      </c>
      <c r="I3" s="9" t="s">
        <v>37</v>
      </c>
      <c r="J3" s="9" t="s">
        <v>38</v>
      </c>
      <c r="K3" s="7" t="s">
        <v>39</v>
      </c>
      <c r="O3" s="9" t="s">
        <v>29</v>
      </c>
    </row>
    <row r="4" ht="22.5" customHeight="1">
      <c r="A4" s="6">
        <v>46119.438401666666</v>
      </c>
      <c r="B4" s="7" t="s">
        <v>40</v>
      </c>
      <c r="C4" s="8" t="s">
        <v>41</v>
      </c>
      <c r="D4" s="8" t="s">
        <v>42</v>
      </c>
      <c r="E4" s="9" t="s">
        <v>43</v>
      </c>
      <c r="F4" s="9" t="s">
        <v>44</v>
      </c>
      <c r="G4" s="7" t="s">
        <v>45</v>
      </c>
      <c r="H4" s="9" t="s">
        <v>46</v>
      </c>
      <c r="I4" s="9" t="s">
        <v>26</v>
      </c>
      <c r="J4" s="9" t="s">
        <v>47</v>
      </c>
      <c r="K4" s="7" t="s">
        <v>48</v>
      </c>
      <c r="O4" s="9" t="s">
        <v>29</v>
      </c>
    </row>
    <row r="5" ht="22.5" customHeight="1">
      <c r="A5" s="6">
        <v>46120.44831586805</v>
      </c>
      <c r="B5" s="7" t="s">
        <v>49</v>
      </c>
      <c r="C5" s="8" t="s">
        <v>50</v>
      </c>
      <c r="D5" s="9" t="s">
        <v>51</v>
      </c>
      <c r="E5" s="9" t="s">
        <v>52</v>
      </c>
      <c r="F5" s="9" t="s">
        <v>53</v>
      </c>
      <c r="G5" s="7" t="s">
        <v>54</v>
      </c>
      <c r="H5" s="9" t="s">
        <v>55</v>
      </c>
      <c r="I5" s="9" t="s">
        <v>26</v>
      </c>
      <c r="J5" s="9" t="s">
        <v>56</v>
      </c>
      <c r="K5" s="7" t="s">
        <v>57</v>
      </c>
      <c r="O5" s="9" t="s">
        <v>29</v>
      </c>
    </row>
    <row r="6" ht="22.5" customHeight="1">
      <c r="A6" s="6">
        <v>46122.54866215278</v>
      </c>
      <c r="B6" s="7" t="s">
        <v>58</v>
      </c>
      <c r="C6" s="8" t="s">
        <v>59</v>
      </c>
      <c r="D6" s="8" t="s">
        <v>60</v>
      </c>
      <c r="E6" s="9" t="s">
        <v>61</v>
      </c>
      <c r="F6" s="9" t="s">
        <v>62</v>
      </c>
      <c r="G6" s="7" t="s">
        <v>63</v>
      </c>
      <c r="H6" s="9" t="s">
        <v>64</v>
      </c>
      <c r="I6" s="9" t="s">
        <v>37</v>
      </c>
      <c r="J6" s="9" t="s">
        <v>59</v>
      </c>
      <c r="K6" s="7" t="s">
        <v>65</v>
      </c>
      <c r="O6" s="9" t="s">
        <v>29</v>
      </c>
    </row>
    <row r="7" ht="22.5" customHeight="1">
      <c r="A7" s="6">
        <v>46132.450842094906</v>
      </c>
      <c r="B7" s="7" t="s">
        <v>66</v>
      </c>
      <c r="C7" s="8" t="s">
        <v>67</v>
      </c>
      <c r="D7" s="9" t="s">
        <v>68</v>
      </c>
      <c r="E7" s="9" t="s">
        <v>69</v>
      </c>
      <c r="F7" s="9" t="s">
        <v>62</v>
      </c>
      <c r="G7" s="7" t="s">
        <v>70</v>
      </c>
      <c r="H7" s="9" t="s">
        <v>71</v>
      </c>
      <c r="I7" s="9" t="s">
        <v>72</v>
      </c>
      <c r="J7" s="9" t="s">
        <v>67</v>
      </c>
      <c r="K7" s="7" t="s">
        <v>73</v>
      </c>
      <c r="O7" s="9" t="s">
        <v>29</v>
      </c>
    </row>
    <row r="8" ht="22.5" customHeight="1">
      <c r="A8" s="6">
        <v>46132.63431778935</v>
      </c>
      <c r="B8" s="7" t="s">
        <v>74</v>
      </c>
      <c r="C8" s="8" t="s">
        <v>75</v>
      </c>
      <c r="D8" s="8" t="s">
        <v>76</v>
      </c>
      <c r="E8" s="9" t="s">
        <v>77</v>
      </c>
      <c r="F8" s="9" t="s">
        <v>34</v>
      </c>
      <c r="G8" s="7" t="s">
        <v>78</v>
      </c>
      <c r="H8" s="9" t="s">
        <v>79</v>
      </c>
      <c r="I8" s="9" t="s">
        <v>37</v>
      </c>
      <c r="J8" s="9" t="s">
        <v>75</v>
      </c>
      <c r="K8" s="7" t="s">
        <v>80</v>
      </c>
      <c r="O8" s="9" t="s">
        <v>29</v>
      </c>
    </row>
    <row r="9" ht="22.5" customHeight="1">
      <c r="A9" s="6">
        <v>46133.362988877314</v>
      </c>
      <c r="B9" s="7" t="s">
        <v>81</v>
      </c>
      <c r="C9" s="8" t="s">
        <v>82</v>
      </c>
      <c r="D9" s="8" t="s">
        <v>83</v>
      </c>
      <c r="E9" s="9" t="s">
        <v>84</v>
      </c>
      <c r="F9" s="9" t="s">
        <v>34</v>
      </c>
      <c r="G9" s="7" t="s">
        <v>85</v>
      </c>
      <c r="H9" s="9" t="s">
        <v>86</v>
      </c>
      <c r="I9" s="9" t="s">
        <v>72</v>
      </c>
      <c r="J9" s="9" t="s">
        <v>87</v>
      </c>
      <c r="K9" s="7" t="s">
        <v>88</v>
      </c>
      <c r="O9" s="9" t="s">
        <v>29</v>
      </c>
    </row>
    <row r="10" ht="22.5" customHeight="1">
      <c r="A10" s="6">
        <v>46133.36650222223</v>
      </c>
      <c r="B10" s="7" t="s">
        <v>89</v>
      </c>
      <c r="C10" s="8" t="s">
        <v>90</v>
      </c>
      <c r="D10" s="8" t="s">
        <v>91</v>
      </c>
      <c r="E10" s="9" t="s">
        <v>92</v>
      </c>
      <c r="F10" s="9" t="s">
        <v>34</v>
      </c>
      <c r="G10" s="7" t="s">
        <v>93</v>
      </c>
      <c r="H10" s="9" t="s">
        <v>94</v>
      </c>
      <c r="I10" s="9" t="s">
        <v>37</v>
      </c>
      <c r="J10" s="9" t="s">
        <v>95</v>
      </c>
      <c r="K10" s="7" t="s">
        <v>96</v>
      </c>
      <c r="O10" s="9" t="s">
        <v>29</v>
      </c>
    </row>
    <row r="11" ht="22.5" customHeight="1">
      <c r="A11" s="6">
        <v>46134.35174079861</v>
      </c>
      <c r="B11" s="7" t="s">
        <v>97</v>
      </c>
      <c r="C11" s="8" t="s">
        <v>98</v>
      </c>
      <c r="D11" s="8" t="s">
        <v>99</v>
      </c>
      <c r="E11" s="9" t="s">
        <v>100</v>
      </c>
      <c r="F11" s="9" t="s">
        <v>62</v>
      </c>
      <c r="G11" s="7" t="s">
        <v>101</v>
      </c>
      <c r="H11" s="9" t="s">
        <v>102</v>
      </c>
      <c r="I11" s="9" t="s">
        <v>37</v>
      </c>
      <c r="J11" s="9" t="s">
        <v>98</v>
      </c>
      <c r="K11" s="7" t="s">
        <v>103</v>
      </c>
      <c r="O11" s="9" t="s">
        <v>29</v>
      </c>
    </row>
    <row r="12" ht="22.5" customHeight="1">
      <c r="A12" s="6">
        <v>46134.579764594906</v>
      </c>
      <c r="B12" s="7" t="s">
        <v>104</v>
      </c>
      <c r="C12" s="8" t="s">
        <v>105</v>
      </c>
      <c r="D12" s="9" t="s">
        <v>105</v>
      </c>
      <c r="E12" s="9" t="s">
        <v>106</v>
      </c>
      <c r="F12" s="9" t="s">
        <v>34</v>
      </c>
      <c r="G12" s="7" t="s">
        <v>107</v>
      </c>
      <c r="H12" s="9" t="s">
        <v>108</v>
      </c>
      <c r="I12" s="9" t="s">
        <v>26</v>
      </c>
      <c r="J12" s="9" t="s">
        <v>109</v>
      </c>
      <c r="K12" s="7" t="s">
        <v>110</v>
      </c>
      <c r="O12" s="9" t="s">
        <v>29</v>
      </c>
    </row>
    <row r="13" ht="22.5" customHeight="1">
      <c r="A13" s="6">
        <v>46135.40932997685</v>
      </c>
      <c r="B13" s="7" t="s">
        <v>111</v>
      </c>
      <c r="C13" s="8" t="s">
        <v>112</v>
      </c>
      <c r="D13" s="8" t="s">
        <v>113</v>
      </c>
      <c r="E13" s="9" t="s">
        <v>114</v>
      </c>
      <c r="F13" s="9" t="s">
        <v>115</v>
      </c>
      <c r="G13" s="7" t="s">
        <v>116</v>
      </c>
      <c r="H13" s="9" t="s">
        <v>117</v>
      </c>
      <c r="I13" s="9" t="s">
        <v>37</v>
      </c>
      <c r="J13" s="9" t="s">
        <v>112</v>
      </c>
      <c r="K13" s="7" t="s">
        <v>118</v>
      </c>
      <c r="O13" s="9" t="s">
        <v>29</v>
      </c>
    </row>
    <row r="14" ht="22.5" customHeight="1">
      <c r="A14" s="6">
        <v>46135.42519646991</v>
      </c>
      <c r="B14" s="7" t="s">
        <v>119</v>
      </c>
      <c r="C14" s="8" t="s">
        <v>120</v>
      </c>
      <c r="D14" s="9" t="s">
        <v>121</v>
      </c>
      <c r="E14" s="9" t="s">
        <v>122</v>
      </c>
      <c r="F14" s="9" t="s">
        <v>62</v>
      </c>
      <c r="G14" s="7" t="s">
        <v>123</v>
      </c>
      <c r="H14" s="9" t="s">
        <v>124</v>
      </c>
      <c r="I14" s="9" t="s">
        <v>37</v>
      </c>
      <c r="J14" s="9" t="s">
        <v>120</v>
      </c>
      <c r="K14" s="7" t="s">
        <v>125</v>
      </c>
      <c r="O14" s="9" t="s">
        <v>29</v>
      </c>
    </row>
    <row r="15" ht="22.5" customHeight="1">
      <c r="A15" s="6">
        <v>46136.56134511574</v>
      </c>
      <c r="B15" s="7" t="s">
        <v>126</v>
      </c>
      <c r="C15" s="8" t="s">
        <v>127</v>
      </c>
      <c r="D15" s="9" t="s">
        <v>128</v>
      </c>
      <c r="E15" s="9" t="s">
        <v>129</v>
      </c>
      <c r="F15" s="9" t="s">
        <v>34</v>
      </c>
      <c r="G15" s="7" t="s">
        <v>130</v>
      </c>
      <c r="H15" s="9" t="s">
        <v>131</v>
      </c>
      <c r="I15" s="9" t="s">
        <v>37</v>
      </c>
      <c r="J15" s="9" t="s">
        <v>127</v>
      </c>
      <c r="K15" s="7" t="s">
        <v>132</v>
      </c>
      <c r="O15" s="9" t="s">
        <v>29</v>
      </c>
    </row>
    <row r="16" ht="22.5" customHeight="1">
      <c r="A16" s="6">
        <v>46146.67367421296</v>
      </c>
      <c r="B16" s="7" t="s">
        <v>133</v>
      </c>
      <c r="C16" s="8" t="s">
        <v>134</v>
      </c>
      <c r="D16" s="8" t="s">
        <v>135</v>
      </c>
      <c r="E16" s="9" t="s">
        <v>136</v>
      </c>
      <c r="F16" s="9" t="s">
        <v>137</v>
      </c>
      <c r="G16" s="7" t="s">
        <v>138</v>
      </c>
      <c r="H16" s="9" t="s">
        <v>139</v>
      </c>
      <c r="I16" s="9" t="s">
        <v>37</v>
      </c>
      <c r="J16" s="9" t="s">
        <v>134</v>
      </c>
      <c r="K16" s="7" t="s">
        <v>140</v>
      </c>
      <c r="O16" s="9" t="s">
        <v>29</v>
      </c>
    </row>
    <row r="17" ht="22.5" customHeight="1">
      <c r="A17" s="6">
        <v>46148.46980287037</v>
      </c>
      <c r="B17" s="7" t="s">
        <v>141</v>
      </c>
      <c r="C17" s="8" t="s">
        <v>142</v>
      </c>
      <c r="D17" s="9" t="s">
        <v>143</v>
      </c>
      <c r="E17" s="9" t="s">
        <v>144</v>
      </c>
      <c r="F17" s="9" t="s">
        <v>44</v>
      </c>
      <c r="G17" s="7" t="s">
        <v>145</v>
      </c>
      <c r="H17" s="9" t="s">
        <v>146</v>
      </c>
      <c r="I17" s="9" t="s">
        <v>37</v>
      </c>
      <c r="J17" s="9" t="s">
        <v>142</v>
      </c>
      <c r="K17" s="7" t="s">
        <v>141</v>
      </c>
      <c r="O17" s="9" t="s">
        <v>29</v>
      </c>
    </row>
    <row r="18" ht="22.5" customHeight="1">
      <c r="A18" s="6">
        <v>46149.53217961805</v>
      </c>
      <c r="B18" s="10" t="s">
        <v>147</v>
      </c>
      <c r="C18" s="8" t="s">
        <v>148</v>
      </c>
      <c r="D18" s="9" t="s">
        <v>149</v>
      </c>
      <c r="E18" s="9" t="s">
        <v>150</v>
      </c>
      <c r="F18" s="9" t="s">
        <v>34</v>
      </c>
      <c r="G18" s="7" t="s">
        <v>151</v>
      </c>
      <c r="H18" s="9" t="s">
        <v>152</v>
      </c>
      <c r="I18" s="9" t="s">
        <v>72</v>
      </c>
      <c r="J18" s="9" t="s">
        <v>148</v>
      </c>
      <c r="K18" s="7" t="s">
        <v>153</v>
      </c>
      <c r="O18" s="9" t="s">
        <v>29</v>
      </c>
    </row>
    <row r="19" ht="22.5" customHeight="1">
      <c r="A19" s="6">
        <v>46150.47520997685</v>
      </c>
      <c r="B19" s="7" t="s">
        <v>154</v>
      </c>
      <c r="C19" s="8" t="s">
        <v>155</v>
      </c>
      <c r="D19" s="8" t="s">
        <v>156</v>
      </c>
      <c r="E19" s="9" t="s">
        <v>157</v>
      </c>
      <c r="F19" s="9" t="s">
        <v>62</v>
      </c>
      <c r="G19" s="7" t="s">
        <v>158</v>
      </c>
      <c r="H19" s="9" t="s">
        <v>159</v>
      </c>
      <c r="I19" s="9" t="s">
        <v>26</v>
      </c>
      <c r="J19" s="9" t="s">
        <v>160</v>
      </c>
      <c r="K19" s="7" t="s">
        <v>161</v>
      </c>
      <c r="O19" s="9" t="s">
        <v>29</v>
      </c>
    </row>
    <row r="20" ht="22.5" customHeight="1">
      <c r="A20" s="6">
        <v>46162.439182685186</v>
      </c>
      <c r="B20" s="7" t="s">
        <v>162</v>
      </c>
      <c r="C20" s="8" t="s">
        <v>163</v>
      </c>
      <c r="D20" s="8" t="s">
        <v>164</v>
      </c>
      <c r="E20" s="9" t="s">
        <v>165</v>
      </c>
      <c r="F20" s="9" t="s">
        <v>34</v>
      </c>
      <c r="G20" s="7" t="s">
        <v>166</v>
      </c>
      <c r="H20" s="9" t="s">
        <v>167</v>
      </c>
      <c r="I20" s="9" t="s">
        <v>72</v>
      </c>
      <c r="J20" s="9" t="s">
        <v>163</v>
      </c>
      <c r="K20" s="7" t="s">
        <v>168</v>
      </c>
      <c r="O20" s="9" t="s">
        <v>29</v>
      </c>
    </row>
    <row r="21" ht="22.5" customHeight="1">
      <c r="A21" s="6">
        <v>46162.67000946759</v>
      </c>
      <c r="B21" s="7" t="s">
        <v>169</v>
      </c>
      <c r="C21" s="8" t="s">
        <v>170</v>
      </c>
      <c r="D21" s="8" t="s">
        <v>171</v>
      </c>
      <c r="E21" s="9" t="s">
        <v>172</v>
      </c>
      <c r="F21" s="9" t="s">
        <v>23</v>
      </c>
      <c r="G21" s="7" t="s">
        <v>173</v>
      </c>
      <c r="H21" s="9" t="s">
        <v>174</v>
      </c>
      <c r="I21" s="9" t="s">
        <v>26</v>
      </c>
      <c r="J21" s="9" t="s">
        <v>170</v>
      </c>
      <c r="K21" s="7" t="s">
        <v>175</v>
      </c>
      <c r="O21" s="9" t="s">
        <v>29</v>
      </c>
    </row>
    <row r="22" ht="22.5" customHeight="1">
      <c r="A22" s="6">
        <v>46164.6452</v>
      </c>
      <c r="B22" s="7" t="s">
        <v>176</v>
      </c>
      <c r="C22" s="8" t="s">
        <v>177</v>
      </c>
      <c r="D22" s="8" t="s">
        <v>178</v>
      </c>
      <c r="E22" s="9" t="s">
        <v>179</v>
      </c>
      <c r="F22" s="9" t="s">
        <v>34</v>
      </c>
      <c r="G22" s="7" t="s">
        <v>180</v>
      </c>
      <c r="H22" s="9" t="s">
        <v>181</v>
      </c>
      <c r="I22" s="9" t="s">
        <v>37</v>
      </c>
      <c r="J22" s="9" t="s">
        <v>177</v>
      </c>
      <c r="K22" s="7" t="s">
        <v>182</v>
      </c>
      <c r="O22" s="9" t="s">
        <v>29</v>
      </c>
    </row>
    <row r="23" ht="22.5" customHeight="1">
      <c r="A23" s="6">
        <v>46168.68805640047</v>
      </c>
      <c r="B23" s="7" t="s">
        <v>183</v>
      </c>
      <c r="C23" s="8" t="s">
        <v>184</v>
      </c>
      <c r="D23" s="8" t="s">
        <v>185</v>
      </c>
      <c r="E23" s="9" t="s">
        <v>186</v>
      </c>
      <c r="F23" s="9" t="s">
        <v>62</v>
      </c>
      <c r="G23" s="7" t="s">
        <v>187</v>
      </c>
      <c r="H23" s="9" t="s">
        <v>188</v>
      </c>
      <c r="I23" s="9" t="s">
        <v>37</v>
      </c>
      <c r="J23" s="9" t="s">
        <v>184</v>
      </c>
      <c r="K23" s="7" t="s">
        <v>189</v>
      </c>
      <c r="O23" s="9" t="s">
        <v>29</v>
      </c>
    </row>
    <row r="24" ht="22.5" customHeight="1">
      <c r="A24" s="6">
        <v>46174.65936521991</v>
      </c>
      <c r="B24" s="7" t="s">
        <v>190</v>
      </c>
      <c r="C24" s="8" t="s">
        <v>191</v>
      </c>
      <c r="D24" s="8" t="s">
        <v>192</v>
      </c>
      <c r="E24" s="9" t="s">
        <v>193</v>
      </c>
      <c r="F24" s="9" t="s">
        <v>194</v>
      </c>
      <c r="G24" s="7" t="s">
        <v>195</v>
      </c>
      <c r="H24" s="9" t="s">
        <v>196</v>
      </c>
      <c r="I24" s="9" t="s">
        <v>72</v>
      </c>
      <c r="J24" s="9" t="s">
        <v>191</v>
      </c>
      <c r="K24" s="7" t="s">
        <v>197</v>
      </c>
      <c r="O24" s="9" t="s">
        <v>29</v>
      </c>
    </row>
    <row r="25" ht="22.5" customHeight="1">
      <c r="A25" s="6">
        <v>46175.64069849537</v>
      </c>
      <c r="B25" s="7" t="s">
        <v>198</v>
      </c>
      <c r="C25" s="8" t="s">
        <v>199</v>
      </c>
      <c r="D25" s="8" t="s">
        <v>200</v>
      </c>
      <c r="E25" s="9" t="s">
        <v>201</v>
      </c>
      <c r="F25" s="9" t="s">
        <v>34</v>
      </c>
      <c r="G25" s="7" t="s">
        <v>202</v>
      </c>
      <c r="H25" s="9" t="s">
        <v>203</v>
      </c>
      <c r="I25" s="9" t="s">
        <v>72</v>
      </c>
      <c r="J25" s="9" t="s">
        <v>199</v>
      </c>
      <c r="K25" s="7" t="s">
        <v>204</v>
      </c>
      <c r="O25" s="9" t="s">
        <v>29</v>
      </c>
    </row>
    <row r="26" ht="22.5" customHeight="1">
      <c r="A26" s="6">
        <v>46176.45700769676</v>
      </c>
      <c r="B26" s="7" t="s">
        <v>205</v>
      </c>
      <c r="C26" s="8" t="s">
        <v>206</v>
      </c>
      <c r="D26" s="8" t="s">
        <v>207</v>
      </c>
      <c r="E26" s="9" t="s">
        <v>208</v>
      </c>
      <c r="F26" s="9" t="s">
        <v>62</v>
      </c>
      <c r="G26" s="7" t="s">
        <v>209</v>
      </c>
      <c r="H26" s="9" t="s">
        <v>210</v>
      </c>
      <c r="I26" s="9" t="s">
        <v>26</v>
      </c>
      <c r="J26" s="9" t="s">
        <v>206</v>
      </c>
      <c r="K26" s="7" t="s">
        <v>211</v>
      </c>
      <c r="O26" s="9" t="s">
        <v>29</v>
      </c>
    </row>
    <row r="27" ht="22.5" customHeight="1">
      <c r="A27" s="6">
        <v>46178.46617491898</v>
      </c>
      <c r="B27" s="7" t="s">
        <v>212</v>
      </c>
      <c r="C27" s="8" t="s">
        <v>213</v>
      </c>
      <c r="D27" s="8" t="s">
        <v>214</v>
      </c>
      <c r="E27" s="9" t="s">
        <v>215</v>
      </c>
      <c r="F27" s="9" t="s">
        <v>62</v>
      </c>
      <c r="G27" s="7" t="s">
        <v>216</v>
      </c>
      <c r="H27" s="9" t="s">
        <v>217</v>
      </c>
      <c r="I27" s="9" t="s">
        <v>37</v>
      </c>
      <c r="J27" s="9" t="s">
        <v>213</v>
      </c>
      <c r="K27" s="7" t="s">
        <v>218</v>
      </c>
      <c r="O27" s="9" t="s">
        <v>29</v>
      </c>
    </row>
    <row r="28" ht="22.5" customHeight="1">
      <c r="A28" s="6">
        <v>46178.61700547454</v>
      </c>
      <c r="B28" s="7" t="s">
        <v>219</v>
      </c>
      <c r="C28" s="8" t="s">
        <v>220</v>
      </c>
      <c r="D28" s="8" t="s">
        <v>221</v>
      </c>
      <c r="E28" s="9" t="s">
        <v>222</v>
      </c>
      <c r="F28" s="9" t="s">
        <v>62</v>
      </c>
      <c r="G28" s="7" t="s">
        <v>223</v>
      </c>
      <c r="H28" s="9" t="s">
        <v>224</v>
      </c>
      <c r="I28" s="9" t="s">
        <v>37</v>
      </c>
      <c r="J28" s="9" t="s">
        <v>225</v>
      </c>
      <c r="K28" s="7" t="s">
        <v>226</v>
      </c>
      <c r="O28" s="9" t="s">
        <v>29</v>
      </c>
    </row>
    <row r="29" ht="22.5" customHeight="1">
      <c r="A29" s="6">
        <v>46181.401607569445</v>
      </c>
      <c r="B29" s="7" t="s">
        <v>227</v>
      </c>
      <c r="C29" s="8" t="s">
        <v>228</v>
      </c>
      <c r="D29" s="8" t="s">
        <v>229</v>
      </c>
      <c r="E29" s="9" t="s">
        <v>230</v>
      </c>
      <c r="F29" s="9" t="s">
        <v>34</v>
      </c>
      <c r="G29" s="7" t="s">
        <v>231</v>
      </c>
      <c r="H29" s="9" t="s">
        <v>232</v>
      </c>
      <c r="I29" s="9" t="s">
        <v>37</v>
      </c>
      <c r="J29" s="9" t="s">
        <v>228</v>
      </c>
      <c r="K29" s="7" t="s">
        <v>233</v>
      </c>
      <c r="O29" s="9" t="s">
        <v>29</v>
      </c>
    </row>
    <row r="30" ht="22.5" customHeight="1">
      <c r="A30" s="6">
        <v>46182.44803497686</v>
      </c>
      <c r="B30" s="7" t="s">
        <v>234</v>
      </c>
      <c r="C30" s="8" t="s">
        <v>235</v>
      </c>
      <c r="D30" s="8" t="s">
        <v>236</v>
      </c>
      <c r="E30" s="9" t="s">
        <v>237</v>
      </c>
      <c r="F30" s="9" t="s">
        <v>238</v>
      </c>
      <c r="G30" s="7" t="s">
        <v>239</v>
      </c>
      <c r="H30" s="9" t="s">
        <v>240</v>
      </c>
      <c r="I30" s="9" t="s">
        <v>37</v>
      </c>
      <c r="J30" s="9" t="s">
        <v>235</v>
      </c>
      <c r="K30" s="7" t="s">
        <v>241</v>
      </c>
      <c r="O30" s="9" t="s">
        <v>29</v>
      </c>
    </row>
    <row r="31" ht="22.5" customHeight="1">
      <c r="A31" s="6">
        <v>46184.42856210648</v>
      </c>
      <c r="B31" s="7" t="s">
        <v>242</v>
      </c>
      <c r="C31" s="8" t="s">
        <v>243</v>
      </c>
      <c r="D31" s="8" t="s">
        <v>244</v>
      </c>
      <c r="E31" s="9" t="s">
        <v>245</v>
      </c>
      <c r="F31" s="9" t="s">
        <v>44</v>
      </c>
      <c r="G31" s="7" t="s">
        <v>246</v>
      </c>
      <c r="H31" s="9" t="s">
        <v>247</v>
      </c>
      <c r="I31" s="9" t="s">
        <v>26</v>
      </c>
      <c r="J31" s="9" t="s">
        <v>243</v>
      </c>
      <c r="K31" s="7" t="s">
        <v>248</v>
      </c>
      <c r="O31" s="9" t="s">
        <v>29</v>
      </c>
    </row>
    <row r="32" ht="22.5" customHeight="1">
      <c r="A32" s="6">
        <v>46184.43963447917</v>
      </c>
      <c r="B32" s="7" t="s">
        <v>249</v>
      </c>
      <c r="C32" s="8" t="s">
        <v>250</v>
      </c>
      <c r="D32" s="8" t="s">
        <v>251</v>
      </c>
      <c r="E32" s="9" t="s">
        <v>252</v>
      </c>
      <c r="F32" s="9" t="s">
        <v>44</v>
      </c>
      <c r="G32" s="7" t="s">
        <v>253</v>
      </c>
      <c r="H32" s="9" t="s">
        <v>254</v>
      </c>
      <c r="I32" s="9" t="s">
        <v>37</v>
      </c>
      <c r="J32" s="9" t="s">
        <v>250</v>
      </c>
      <c r="K32" s="7" t="s">
        <v>249</v>
      </c>
      <c r="O32" s="9" t="s">
        <v>29</v>
      </c>
    </row>
    <row r="33" ht="22.5" customHeight="1">
      <c r="A33" s="6">
        <v>46185.66787986111</v>
      </c>
      <c r="B33" s="7" t="s">
        <v>255</v>
      </c>
      <c r="C33" s="8" t="s">
        <v>256</v>
      </c>
      <c r="D33" s="9" t="s">
        <v>257</v>
      </c>
      <c r="E33" s="9" t="s">
        <v>258</v>
      </c>
      <c r="F33" s="9" t="s">
        <v>34</v>
      </c>
      <c r="G33" s="7" t="s">
        <v>259</v>
      </c>
      <c r="H33" s="9" t="s">
        <v>260</v>
      </c>
      <c r="I33" s="9" t="s">
        <v>37</v>
      </c>
      <c r="J33" s="9" t="s">
        <v>256</v>
      </c>
      <c r="K33" s="7" t="s">
        <v>261</v>
      </c>
      <c r="O33" s="9" t="s">
        <v>29</v>
      </c>
    </row>
    <row r="34" ht="22.5" customHeight="1">
      <c r="A34" s="6">
        <v>46188.46546015046</v>
      </c>
      <c r="B34" s="7" t="s">
        <v>262</v>
      </c>
      <c r="C34" s="8" t="s">
        <v>263</v>
      </c>
      <c r="D34" s="8" t="s">
        <v>264</v>
      </c>
      <c r="E34" s="9" t="s">
        <v>265</v>
      </c>
      <c r="F34" s="9" t="s">
        <v>62</v>
      </c>
      <c r="G34" s="7" t="s">
        <v>266</v>
      </c>
      <c r="H34" s="9" t="s">
        <v>267</v>
      </c>
      <c r="I34" s="9" t="s">
        <v>72</v>
      </c>
      <c r="J34" s="9" t="s">
        <v>263</v>
      </c>
      <c r="K34" s="7" t="s">
        <v>268</v>
      </c>
      <c r="O34" s="9" t="s">
        <v>29</v>
      </c>
    </row>
    <row r="35" ht="22.5" customHeight="1">
      <c r="A35" s="6">
        <v>46189.5653545949</v>
      </c>
      <c r="B35" s="7" t="s">
        <v>269</v>
      </c>
      <c r="C35" s="8" t="s">
        <v>270</v>
      </c>
      <c r="D35" s="9" t="s">
        <v>271</v>
      </c>
      <c r="E35" s="9" t="s">
        <v>272</v>
      </c>
      <c r="F35" s="9" t="s">
        <v>53</v>
      </c>
      <c r="G35" s="7" t="s">
        <v>273</v>
      </c>
      <c r="H35" s="9" t="s">
        <v>274</v>
      </c>
      <c r="I35" s="9" t="s">
        <v>37</v>
      </c>
      <c r="J35" s="9" t="s">
        <v>275</v>
      </c>
      <c r="K35" s="7" t="s">
        <v>276</v>
      </c>
      <c r="O35" s="9" t="s">
        <v>29</v>
      </c>
    </row>
    <row r="36" ht="22.5" customHeight="1">
      <c r="A36" s="6">
        <v>46190.65584854167</v>
      </c>
      <c r="B36" s="7" t="s">
        <v>277</v>
      </c>
      <c r="C36" s="8" t="s">
        <v>278</v>
      </c>
      <c r="D36" s="8" t="s">
        <v>279</v>
      </c>
      <c r="E36" s="9" t="s">
        <v>280</v>
      </c>
      <c r="F36" s="9" t="s">
        <v>34</v>
      </c>
      <c r="G36" s="7" t="s">
        <v>281</v>
      </c>
      <c r="H36" s="9" t="s">
        <v>282</v>
      </c>
      <c r="I36" s="9" t="s">
        <v>37</v>
      </c>
      <c r="J36" s="9" t="s">
        <v>278</v>
      </c>
      <c r="K36" s="7" t="s">
        <v>283</v>
      </c>
      <c r="O36" s="9" t="s">
        <v>29</v>
      </c>
    </row>
    <row r="37" ht="22.5" customHeight="1">
      <c r="A37" s="6">
        <v>46190.6768355324</v>
      </c>
      <c r="B37" s="7" t="s">
        <v>284</v>
      </c>
      <c r="C37" s="8" t="s">
        <v>285</v>
      </c>
      <c r="D37" s="8" t="s">
        <v>286</v>
      </c>
      <c r="E37" s="9" t="s">
        <v>287</v>
      </c>
      <c r="F37" s="9" t="s">
        <v>62</v>
      </c>
      <c r="G37" s="7" t="s">
        <v>288</v>
      </c>
      <c r="H37" s="9" t="s">
        <v>289</v>
      </c>
      <c r="I37" s="9" t="s">
        <v>26</v>
      </c>
      <c r="J37" s="9" t="s">
        <v>285</v>
      </c>
      <c r="K37" s="7" t="s">
        <v>290</v>
      </c>
      <c r="O37" s="9" t="s">
        <v>29</v>
      </c>
    </row>
    <row r="38" ht="22.5" customHeight="1">
      <c r="A38" s="6">
        <v>46192.50721655093</v>
      </c>
      <c r="B38" s="7" t="s">
        <v>291</v>
      </c>
      <c r="C38" s="8" t="s">
        <v>292</v>
      </c>
      <c r="D38" s="8" t="s">
        <v>293</v>
      </c>
      <c r="E38" s="9" t="s">
        <v>294</v>
      </c>
      <c r="F38" s="9" t="s">
        <v>34</v>
      </c>
      <c r="G38" s="7" t="s">
        <v>295</v>
      </c>
      <c r="H38" s="9" t="s">
        <v>296</v>
      </c>
      <c r="I38" s="9" t="s">
        <v>72</v>
      </c>
      <c r="J38" s="9" t="s">
        <v>292</v>
      </c>
      <c r="K38" s="7" t="s">
        <v>297</v>
      </c>
      <c r="O38" s="9" t="s">
        <v>29</v>
      </c>
    </row>
    <row r="39" ht="22.5" customHeight="1">
      <c r="A39" s="6">
        <v>46196.707092847224</v>
      </c>
      <c r="B39" s="7" t="s">
        <v>298</v>
      </c>
      <c r="C39" s="8" t="s">
        <v>299</v>
      </c>
      <c r="D39" s="8" t="s">
        <v>300</v>
      </c>
      <c r="E39" s="9" t="s">
        <v>301</v>
      </c>
      <c r="F39" s="9" t="s">
        <v>62</v>
      </c>
      <c r="G39" s="7" t="s">
        <v>302</v>
      </c>
      <c r="H39" s="9" t="s">
        <v>303</v>
      </c>
      <c r="I39" s="9" t="s">
        <v>37</v>
      </c>
      <c r="J39" s="9" t="s">
        <v>299</v>
      </c>
      <c r="K39" s="7" t="s">
        <v>298</v>
      </c>
      <c r="O39" s="9" t="s">
        <v>29</v>
      </c>
    </row>
    <row r="40" ht="22.5" customHeight="1">
      <c r="A40" s="6">
        <v>46197.36475162037</v>
      </c>
      <c r="B40" s="7" t="s">
        <v>304</v>
      </c>
      <c r="C40" s="8" t="s">
        <v>305</v>
      </c>
      <c r="D40" s="8" t="s">
        <v>306</v>
      </c>
      <c r="E40" s="9" t="s">
        <v>307</v>
      </c>
      <c r="F40" s="9" t="s">
        <v>44</v>
      </c>
      <c r="G40" s="7" t="s">
        <v>308</v>
      </c>
      <c r="H40" s="9" t="s">
        <v>309</v>
      </c>
      <c r="I40" s="9" t="s">
        <v>72</v>
      </c>
      <c r="J40" s="9" t="s">
        <v>305</v>
      </c>
      <c r="K40" s="7" t="s">
        <v>310</v>
      </c>
      <c r="O40" s="9" t="s">
        <v>29</v>
      </c>
    </row>
    <row r="41" ht="22.5" customHeight="1">
      <c r="A41" s="6">
        <v>46197.66209219907</v>
      </c>
      <c r="B41" s="7" t="s">
        <v>311</v>
      </c>
      <c r="C41" s="8" t="s">
        <v>312</v>
      </c>
      <c r="D41" s="8" t="s">
        <v>313</v>
      </c>
      <c r="E41" s="9" t="s">
        <v>314</v>
      </c>
      <c r="F41" s="9" t="s">
        <v>23</v>
      </c>
      <c r="G41" s="7" t="s">
        <v>315</v>
      </c>
      <c r="H41" s="9" t="s">
        <v>316</v>
      </c>
      <c r="I41" s="9" t="s">
        <v>37</v>
      </c>
      <c r="J41" s="9" t="s">
        <v>312</v>
      </c>
      <c r="K41" s="7" t="s">
        <v>317</v>
      </c>
      <c r="O41" s="9" t="s">
        <v>29</v>
      </c>
    </row>
    <row r="42" ht="22.5" customHeight="1">
      <c r="A42" s="6">
        <v>46198.50232353009</v>
      </c>
      <c r="B42" s="7" t="s">
        <v>318</v>
      </c>
      <c r="C42" s="8" t="s">
        <v>319</v>
      </c>
      <c r="D42" s="8" t="s">
        <v>320</v>
      </c>
      <c r="E42" s="9" t="s">
        <v>321</v>
      </c>
      <c r="F42" s="9" t="s">
        <v>62</v>
      </c>
      <c r="G42" s="7" t="s">
        <v>322</v>
      </c>
      <c r="H42" s="9" t="s">
        <v>323</v>
      </c>
      <c r="I42" s="9" t="s">
        <v>37</v>
      </c>
      <c r="J42" s="9" t="s">
        <v>324</v>
      </c>
      <c r="K42" s="7" t="s">
        <v>325</v>
      </c>
      <c r="O42" s="9" t="s">
        <v>29</v>
      </c>
    </row>
    <row r="43" ht="22.5" customHeight="1">
      <c r="A43" s="6">
        <v>46202.598100393516</v>
      </c>
      <c r="B43" s="7" t="s">
        <v>326</v>
      </c>
      <c r="C43" s="8" t="s">
        <v>327</v>
      </c>
      <c r="D43" s="8" t="s">
        <v>328</v>
      </c>
      <c r="E43" s="9" t="s">
        <v>329</v>
      </c>
      <c r="F43" s="9" t="s">
        <v>34</v>
      </c>
      <c r="G43" s="7" t="s">
        <v>330</v>
      </c>
      <c r="H43" s="9" t="s">
        <v>331</v>
      </c>
      <c r="I43" s="9" t="s">
        <v>72</v>
      </c>
      <c r="J43" s="9" t="s">
        <v>327</v>
      </c>
      <c r="K43" s="7" t="s">
        <v>332</v>
      </c>
      <c r="O43" s="9" t="s">
        <v>29</v>
      </c>
    </row>
    <row r="44" ht="22.5" customHeight="1">
      <c r="A44" s="6">
        <v>46203.49167697917</v>
      </c>
      <c r="B44" s="7" t="s">
        <v>333</v>
      </c>
      <c r="C44" s="8" t="s">
        <v>334</v>
      </c>
      <c r="D44" s="8" t="s">
        <v>335</v>
      </c>
      <c r="E44" s="9" t="s">
        <v>336</v>
      </c>
      <c r="F44" s="9" t="s">
        <v>44</v>
      </c>
      <c r="G44" s="7" t="s">
        <v>337</v>
      </c>
      <c r="H44" s="9" t="s">
        <v>338</v>
      </c>
      <c r="I44" s="9" t="s">
        <v>37</v>
      </c>
      <c r="J44" s="9" t="s">
        <v>334</v>
      </c>
      <c r="K44" s="7" t="s">
        <v>339</v>
      </c>
      <c r="O44" s="9" t="s">
        <v>29</v>
      </c>
    </row>
    <row r="45" ht="22.5" customHeight="1">
      <c r="A45" s="6">
        <v>46205.500371284725</v>
      </c>
      <c r="B45" s="7" t="s">
        <v>340</v>
      </c>
      <c r="C45" s="9" t="s">
        <v>341</v>
      </c>
      <c r="D45" s="9" t="s">
        <v>342</v>
      </c>
      <c r="E45" s="9" t="s">
        <v>343</v>
      </c>
      <c r="F45" s="9" t="s">
        <v>34</v>
      </c>
      <c r="G45" s="7" t="s">
        <v>344</v>
      </c>
      <c r="H45" s="9" t="s">
        <v>345</v>
      </c>
      <c r="I45" s="9" t="s">
        <v>26</v>
      </c>
      <c r="J45" s="9" t="s">
        <v>341</v>
      </c>
      <c r="K45" s="7" t="s">
        <v>340</v>
      </c>
      <c r="O45" s="9" t="s">
        <v>29</v>
      </c>
    </row>
    <row r="46" ht="22.5" customHeight="1">
      <c r="A46" s="6">
        <v>46209.38035228009</v>
      </c>
      <c r="B46" s="7" t="s">
        <v>104</v>
      </c>
      <c r="C46" s="9" t="s">
        <v>105</v>
      </c>
      <c r="D46" s="9" t="s">
        <v>105</v>
      </c>
      <c r="E46" s="9" t="s">
        <v>346</v>
      </c>
      <c r="F46" s="9" t="s">
        <v>34</v>
      </c>
      <c r="G46" s="7" t="s">
        <v>107</v>
      </c>
      <c r="H46" s="9" t="s">
        <v>108</v>
      </c>
      <c r="I46" s="9" t="s">
        <v>72</v>
      </c>
      <c r="J46" s="9" t="s">
        <v>109</v>
      </c>
      <c r="K46" s="7" t="s">
        <v>347</v>
      </c>
      <c r="O46" s="9" t="s">
        <v>29</v>
      </c>
    </row>
    <row r="47" ht="22.5" customHeight="1">
      <c r="A47" s="6">
        <v>46209.51808821759</v>
      </c>
      <c r="B47" s="7" t="s">
        <v>348</v>
      </c>
      <c r="C47" s="9" t="s">
        <v>349</v>
      </c>
      <c r="D47" s="9" t="s">
        <v>350</v>
      </c>
      <c r="E47" s="9" t="s">
        <v>351</v>
      </c>
      <c r="F47" s="9" t="s">
        <v>34</v>
      </c>
      <c r="G47" s="7" t="s">
        <v>352</v>
      </c>
      <c r="H47" s="9" t="s">
        <v>353</v>
      </c>
      <c r="I47" s="9" t="s">
        <v>37</v>
      </c>
      <c r="J47" s="9" t="s">
        <v>349</v>
      </c>
      <c r="K47" s="7" t="s">
        <v>354</v>
      </c>
      <c r="O47" s="9" t="s">
        <v>29</v>
      </c>
    </row>
    <row r="48" ht="22.5" customHeight="1">
      <c r="A48" s="6">
        <v>46212.39261826389</v>
      </c>
      <c r="B48" s="7" t="s">
        <v>355</v>
      </c>
      <c r="C48" s="9" t="s">
        <v>356</v>
      </c>
      <c r="D48" s="9" t="s">
        <v>357</v>
      </c>
      <c r="E48" s="9" t="s">
        <v>358</v>
      </c>
      <c r="F48" s="9" t="s">
        <v>53</v>
      </c>
      <c r="G48" s="7" t="s">
        <v>359</v>
      </c>
      <c r="H48" s="9" t="s">
        <v>360</v>
      </c>
      <c r="I48" s="9" t="s">
        <v>72</v>
      </c>
      <c r="J48" s="9" t="s">
        <v>361</v>
      </c>
      <c r="K48" s="7" t="s">
        <v>362</v>
      </c>
      <c r="O48" s="9" t="s">
        <v>29</v>
      </c>
    </row>
    <row r="49" ht="22.5" customHeight="1">
      <c r="A49" s="6">
        <v>46219.36393607639</v>
      </c>
      <c r="B49" s="7" t="s">
        <v>363</v>
      </c>
      <c r="C49" s="9" t="s">
        <v>364</v>
      </c>
      <c r="D49" s="9" t="s">
        <v>365</v>
      </c>
      <c r="E49" s="9" t="s">
        <v>366</v>
      </c>
      <c r="F49" s="9" t="s">
        <v>34</v>
      </c>
      <c r="G49" s="7" t="s">
        <v>367</v>
      </c>
      <c r="H49" s="9" t="s">
        <v>368</v>
      </c>
      <c r="I49" s="9" t="s">
        <v>37</v>
      </c>
      <c r="J49" s="9" t="s">
        <v>364</v>
      </c>
      <c r="K49" s="7" t="s">
        <v>369</v>
      </c>
      <c r="O49" s="9" t="s">
        <v>29</v>
      </c>
    </row>
    <row r="50" ht="22.5" customHeight="1">
      <c r="A50" s="6">
        <v>46226.41326350694</v>
      </c>
      <c r="B50" s="7" t="s">
        <v>370</v>
      </c>
      <c r="C50" s="9" t="s">
        <v>371</v>
      </c>
      <c r="D50" s="9" t="s">
        <v>372</v>
      </c>
      <c r="E50" s="9" t="s">
        <v>373</v>
      </c>
      <c r="F50" s="9" t="s">
        <v>62</v>
      </c>
      <c r="G50" s="7" t="s">
        <v>374</v>
      </c>
      <c r="H50" s="9" t="s">
        <v>375</v>
      </c>
      <c r="I50" s="9" t="s">
        <v>72</v>
      </c>
      <c r="J50" s="9" t="s">
        <v>371</v>
      </c>
      <c r="K50" s="7" t="s">
        <v>376</v>
      </c>
      <c r="O50" s="9" t="s">
        <v>29</v>
      </c>
    </row>
    <row r="51" ht="22.5" customHeight="1">
      <c r="A51" s="11"/>
      <c r="B51" s="12" t="s">
        <v>377</v>
      </c>
      <c r="C51" s="13" t="s">
        <v>378</v>
      </c>
      <c r="D51" s="13" t="s">
        <v>379</v>
      </c>
      <c r="E51" s="14" t="s">
        <v>380</v>
      </c>
      <c r="F51" s="14" t="s">
        <v>23</v>
      </c>
      <c r="G51" s="15" t="s">
        <v>381</v>
      </c>
      <c r="H51" s="14" t="s">
        <v>382</v>
      </c>
      <c r="I51" s="14" t="s">
        <v>37</v>
      </c>
      <c r="J51" s="14" t="s">
        <v>383</v>
      </c>
      <c r="K51" s="16" t="s">
        <v>384</v>
      </c>
      <c r="L51" s="17"/>
      <c r="M51" s="17"/>
      <c r="N51" s="11"/>
      <c r="O51" s="11"/>
    </row>
    <row r="52" ht="22.5" customHeight="1">
      <c r="A52" s="11"/>
      <c r="B52" s="12" t="s">
        <v>385</v>
      </c>
      <c r="C52" s="13" t="s">
        <v>386</v>
      </c>
      <c r="D52" s="13" t="s">
        <v>387</v>
      </c>
      <c r="E52" s="14" t="s">
        <v>388</v>
      </c>
      <c r="F52" s="14" t="s">
        <v>62</v>
      </c>
      <c r="G52" s="15" t="s">
        <v>389</v>
      </c>
      <c r="H52" s="14" t="s">
        <v>390</v>
      </c>
      <c r="I52" s="14" t="s">
        <v>37</v>
      </c>
      <c r="J52" s="14" t="s">
        <v>391</v>
      </c>
      <c r="K52" s="16" t="s">
        <v>392</v>
      </c>
      <c r="L52" s="17"/>
      <c r="M52" s="17"/>
      <c r="N52" s="11"/>
      <c r="O52" s="11"/>
    </row>
    <row r="53" ht="22.5" customHeight="1">
      <c r="A53" s="11"/>
      <c r="B53" s="12" t="s">
        <v>393</v>
      </c>
      <c r="C53" s="13" t="s">
        <v>394</v>
      </c>
      <c r="D53" s="13" t="s">
        <v>395</v>
      </c>
      <c r="E53" s="14" t="s">
        <v>396</v>
      </c>
      <c r="F53" s="14" t="s">
        <v>34</v>
      </c>
      <c r="G53" s="15" t="s">
        <v>397</v>
      </c>
      <c r="H53" s="14" t="s">
        <v>398</v>
      </c>
      <c r="I53" s="14" t="s">
        <v>399</v>
      </c>
      <c r="J53" s="14" t="s">
        <v>400</v>
      </c>
      <c r="K53" s="16" t="s">
        <v>401</v>
      </c>
      <c r="L53" s="17"/>
      <c r="M53" s="17"/>
      <c r="N53" s="11"/>
      <c r="O53" s="11"/>
    </row>
    <row r="54" ht="22.5" customHeight="1">
      <c r="A54" s="11"/>
      <c r="B54" s="12" t="s">
        <v>402</v>
      </c>
      <c r="C54" s="13" t="s">
        <v>403</v>
      </c>
      <c r="D54" s="13" t="s">
        <v>404</v>
      </c>
      <c r="E54" s="14" t="s">
        <v>405</v>
      </c>
      <c r="F54" s="14" t="s">
        <v>53</v>
      </c>
      <c r="G54" s="15" t="s">
        <v>406</v>
      </c>
      <c r="H54" s="14" t="s">
        <v>407</v>
      </c>
      <c r="I54" s="14" t="s">
        <v>37</v>
      </c>
      <c r="J54" s="14" t="s">
        <v>408</v>
      </c>
      <c r="K54" s="16" t="s">
        <v>409</v>
      </c>
      <c r="L54" s="17"/>
      <c r="M54" s="17"/>
      <c r="N54" s="11"/>
      <c r="O54" s="11"/>
    </row>
    <row r="55" ht="22.5" customHeight="1">
      <c r="A55" s="11"/>
      <c r="B55" s="12" t="s">
        <v>410</v>
      </c>
      <c r="C55" s="13" t="s">
        <v>411</v>
      </c>
      <c r="D55" s="13" t="s">
        <v>412</v>
      </c>
      <c r="E55" s="14" t="s">
        <v>413</v>
      </c>
      <c r="F55" s="14" t="s">
        <v>414</v>
      </c>
      <c r="G55" s="15" t="s">
        <v>415</v>
      </c>
      <c r="H55" s="14" t="s">
        <v>416</v>
      </c>
      <c r="I55" s="14" t="s">
        <v>399</v>
      </c>
      <c r="J55" s="14" t="s">
        <v>417</v>
      </c>
      <c r="K55" s="16" t="s">
        <v>418</v>
      </c>
      <c r="L55" s="17"/>
      <c r="M55" s="17"/>
      <c r="N55" s="11"/>
      <c r="O55" s="11"/>
    </row>
    <row r="56" ht="22.5" customHeight="1">
      <c r="A56" s="11"/>
      <c r="B56" s="12" t="s">
        <v>419</v>
      </c>
      <c r="C56" s="13" t="s">
        <v>420</v>
      </c>
      <c r="D56" s="13" t="s">
        <v>421</v>
      </c>
      <c r="E56" s="14" t="s">
        <v>422</v>
      </c>
      <c r="F56" s="14" t="s">
        <v>44</v>
      </c>
      <c r="G56" s="15" t="s">
        <v>423</v>
      </c>
      <c r="H56" s="14" t="s">
        <v>424</v>
      </c>
      <c r="I56" s="14" t="s">
        <v>37</v>
      </c>
      <c r="J56" s="14" t="s">
        <v>425</v>
      </c>
      <c r="K56" s="16" t="s">
        <v>426</v>
      </c>
      <c r="L56" s="17"/>
      <c r="M56" s="17"/>
      <c r="N56" s="11"/>
      <c r="O56" s="11"/>
    </row>
    <row r="57" ht="22.5" customHeight="1">
      <c r="A57" s="11"/>
      <c r="B57" s="12" t="s">
        <v>427</v>
      </c>
      <c r="C57" s="13" t="s">
        <v>428</v>
      </c>
      <c r="D57" s="13" t="s">
        <v>429</v>
      </c>
      <c r="E57" s="14" t="s">
        <v>430</v>
      </c>
      <c r="F57" s="14" t="s">
        <v>44</v>
      </c>
      <c r="G57" s="15" t="s">
        <v>431</v>
      </c>
      <c r="H57" s="14" t="s">
        <v>432</v>
      </c>
      <c r="I57" s="14" t="s">
        <v>399</v>
      </c>
      <c r="J57" s="14" t="s">
        <v>433</v>
      </c>
      <c r="K57" s="16" t="s">
        <v>434</v>
      </c>
      <c r="L57" s="17"/>
      <c r="M57" s="17"/>
      <c r="N57" s="11"/>
      <c r="O57" s="11"/>
    </row>
    <row r="58" ht="22.5" customHeight="1">
      <c r="A58" s="11"/>
      <c r="B58" s="12" t="s">
        <v>435</v>
      </c>
      <c r="C58" s="13" t="s">
        <v>436</v>
      </c>
      <c r="D58" s="13" t="s">
        <v>437</v>
      </c>
      <c r="E58" s="14" t="s">
        <v>438</v>
      </c>
      <c r="F58" s="14" t="s">
        <v>62</v>
      </c>
      <c r="G58" s="15" t="s">
        <v>439</v>
      </c>
      <c r="H58" s="14" t="s">
        <v>440</v>
      </c>
      <c r="I58" s="14" t="s">
        <v>37</v>
      </c>
      <c r="J58" s="14" t="s">
        <v>441</v>
      </c>
      <c r="K58" s="16" t="s">
        <v>442</v>
      </c>
      <c r="L58" s="17"/>
      <c r="M58" s="17"/>
      <c r="N58" s="11"/>
      <c r="O58" s="11"/>
    </row>
    <row r="59" ht="22.5" customHeight="1">
      <c r="A59" s="11"/>
      <c r="B59" s="12" t="s">
        <v>443</v>
      </c>
      <c r="C59" s="13" t="s">
        <v>444</v>
      </c>
      <c r="D59" s="13" t="s">
        <v>445</v>
      </c>
      <c r="E59" s="14" t="s">
        <v>446</v>
      </c>
      <c r="F59" s="14" t="s">
        <v>23</v>
      </c>
      <c r="G59" s="15" t="s">
        <v>447</v>
      </c>
      <c r="H59" s="14" t="s">
        <v>448</v>
      </c>
      <c r="I59" s="14" t="s">
        <v>37</v>
      </c>
      <c r="J59" s="14" t="s">
        <v>449</v>
      </c>
      <c r="K59" s="16" t="s">
        <v>450</v>
      </c>
      <c r="L59" s="17"/>
      <c r="M59" s="17"/>
      <c r="N59" s="11"/>
      <c r="O59" s="11"/>
    </row>
    <row r="60" ht="22.5" customHeight="1">
      <c r="A60" s="11"/>
      <c r="B60" s="12" t="s">
        <v>451</v>
      </c>
      <c r="C60" s="13" t="s">
        <v>452</v>
      </c>
      <c r="D60" s="13" t="s">
        <v>453</v>
      </c>
      <c r="E60" s="14" t="s">
        <v>454</v>
      </c>
      <c r="F60" s="14" t="s">
        <v>44</v>
      </c>
      <c r="G60" s="15" t="s">
        <v>455</v>
      </c>
      <c r="H60" s="14" t="s">
        <v>456</v>
      </c>
      <c r="I60" s="14" t="s">
        <v>37</v>
      </c>
      <c r="J60" s="14" t="s">
        <v>457</v>
      </c>
      <c r="K60" s="16" t="s">
        <v>458</v>
      </c>
      <c r="L60" s="17"/>
      <c r="M60" s="17"/>
      <c r="N60" s="11"/>
      <c r="O60" s="11"/>
    </row>
    <row r="61" ht="22.5" customHeight="1">
      <c r="A61" s="11"/>
      <c r="B61" s="12" t="s">
        <v>459</v>
      </c>
      <c r="C61" s="13" t="s">
        <v>460</v>
      </c>
      <c r="D61" s="13" t="s">
        <v>461</v>
      </c>
      <c r="E61" s="14" t="s">
        <v>462</v>
      </c>
      <c r="F61" s="14" t="s">
        <v>34</v>
      </c>
      <c r="G61" s="15" t="s">
        <v>463</v>
      </c>
      <c r="H61" s="14" t="s">
        <v>464</v>
      </c>
      <c r="I61" s="14" t="s">
        <v>37</v>
      </c>
      <c r="J61" s="14" t="s">
        <v>465</v>
      </c>
      <c r="K61" s="16" t="s">
        <v>466</v>
      </c>
      <c r="L61" s="17"/>
      <c r="M61" s="17"/>
      <c r="N61" s="11"/>
      <c r="O61" s="11"/>
    </row>
    <row r="62" ht="22.5" customHeight="1">
      <c r="A62" s="11"/>
      <c r="B62" s="12" t="s">
        <v>467</v>
      </c>
      <c r="C62" s="13" t="s">
        <v>468</v>
      </c>
      <c r="D62" s="13" t="s">
        <v>469</v>
      </c>
      <c r="E62" s="14" t="s">
        <v>470</v>
      </c>
      <c r="F62" s="14" t="s">
        <v>34</v>
      </c>
      <c r="G62" s="15" t="s">
        <v>471</v>
      </c>
      <c r="H62" s="14" t="s">
        <v>472</v>
      </c>
      <c r="I62" s="14" t="s">
        <v>399</v>
      </c>
      <c r="J62" s="14" t="s">
        <v>473</v>
      </c>
      <c r="K62" s="16" t="s">
        <v>474</v>
      </c>
      <c r="L62" s="17"/>
      <c r="M62" s="17"/>
      <c r="N62" s="11"/>
      <c r="O62" s="11"/>
    </row>
    <row r="63" ht="22.5" customHeight="1">
      <c r="A63" s="11"/>
      <c r="B63" s="12" t="s">
        <v>475</v>
      </c>
      <c r="C63" s="14" t="s">
        <v>476</v>
      </c>
      <c r="D63" s="14" t="s">
        <v>477</v>
      </c>
      <c r="E63" s="14" t="s">
        <v>478</v>
      </c>
      <c r="F63" s="14" t="s">
        <v>44</v>
      </c>
      <c r="G63" s="15" t="s">
        <v>479</v>
      </c>
      <c r="H63" s="14" t="s">
        <v>480</v>
      </c>
      <c r="I63" s="14" t="s">
        <v>399</v>
      </c>
      <c r="J63" s="14" t="s">
        <v>481</v>
      </c>
      <c r="K63" s="16" t="s">
        <v>482</v>
      </c>
      <c r="L63" s="17"/>
      <c r="M63" s="17"/>
      <c r="N63" s="11"/>
      <c r="O63" s="11"/>
    </row>
    <row r="64" ht="22.5" customHeight="1">
      <c r="A64" s="11"/>
      <c r="B64" s="12" t="s">
        <v>483</v>
      </c>
      <c r="C64" s="14" t="s">
        <v>484</v>
      </c>
      <c r="D64" s="14" t="s">
        <v>485</v>
      </c>
      <c r="E64" s="14" t="s">
        <v>486</v>
      </c>
      <c r="F64" s="14" t="s">
        <v>62</v>
      </c>
      <c r="G64" s="15" t="s">
        <v>487</v>
      </c>
      <c r="H64" s="14" t="s">
        <v>488</v>
      </c>
      <c r="I64" s="14" t="s">
        <v>37</v>
      </c>
      <c r="J64" s="14" t="s">
        <v>489</v>
      </c>
      <c r="K64" s="16" t="s">
        <v>490</v>
      </c>
      <c r="L64" s="17"/>
      <c r="M64" s="17"/>
      <c r="N64" s="11"/>
      <c r="O64" s="11"/>
    </row>
    <row r="65" ht="22.5" customHeight="1">
      <c r="A65" s="11"/>
      <c r="B65" s="12" t="s">
        <v>491</v>
      </c>
      <c r="C65" s="14" t="s">
        <v>492</v>
      </c>
      <c r="D65" s="14" t="s">
        <v>493</v>
      </c>
      <c r="E65" s="14" t="s">
        <v>494</v>
      </c>
      <c r="F65" s="14" t="s">
        <v>53</v>
      </c>
      <c r="G65" s="15" t="s">
        <v>495</v>
      </c>
      <c r="H65" s="14" t="s">
        <v>496</v>
      </c>
      <c r="I65" s="14" t="s">
        <v>399</v>
      </c>
      <c r="J65" s="14" t="s">
        <v>497</v>
      </c>
      <c r="K65" s="16" t="s">
        <v>498</v>
      </c>
      <c r="L65" s="17"/>
      <c r="M65" s="17"/>
      <c r="N65" s="11"/>
      <c r="O65" s="11"/>
    </row>
    <row r="66" ht="22.5" customHeight="1">
      <c r="A66" s="11"/>
      <c r="B66" s="12" t="s">
        <v>499</v>
      </c>
      <c r="C66" s="14" t="s">
        <v>500</v>
      </c>
      <c r="D66" s="14" t="s">
        <v>501</v>
      </c>
      <c r="E66" s="14" t="s">
        <v>502</v>
      </c>
      <c r="F66" s="14" t="s">
        <v>62</v>
      </c>
      <c r="G66" s="15" t="s">
        <v>503</v>
      </c>
      <c r="H66" s="14" t="s">
        <v>504</v>
      </c>
      <c r="I66" s="14" t="s">
        <v>37</v>
      </c>
      <c r="J66" s="14" t="s">
        <v>505</v>
      </c>
      <c r="K66" s="16" t="s">
        <v>506</v>
      </c>
      <c r="L66" s="17"/>
      <c r="M66" s="17"/>
      <c r="N66" s="11"/>
      <c r="O66" s="11"/>
    </row>
    <row r="67" ht="22.5" customHeight="1">
      <c r="A67" s="11"/>
      <c r="B67" s="12" t="s">
        <v>507</v>
      </c>
      <c r="C67" s="14" t="s">
        <v>508</v>
      </c>
      <c r="D67" s="14" t="s">
        <v>509</v>
      </c>
      <c r="E67" s="14" t="s">
        <v>510</v>
      </c>
      <c r="F67" s="14" t="s">
        <v>23</v>
      </c>
      <c r="G67" s="15" t="s">
        <v>511</v>
      </c>
      <c r="H67" s="14" t="s">
        <v>512</v>
      </c>
      <c r="I67" s="14" t="s">
        <v>37</v>
      </c>
      <c r="J67" s="14" t="s">
        <v>513</v>
      </c>
      <c r="K67" s="16" t="s">
        <v>514</v>
      </c>
      <c r="L67" s="17"/>
      <c r="M67" s="17"/>
      <c r="N67" s="11"/>
      <c r="O67" s="11"/>
    </row>
    <row r="68" ht="22.5" customHeight="1">
      <c r="A68" s="11"/>
      <c r="B68" s="12" t="s">
        <v>515</v>
      </c>
      <c r="C68" s="14" t="s">
        <v>516</v>
      </c>
      <c r="D68" s="14" t="s">
        <v>517</v>
      </c>
      <c r="E68" s="14" t="s">
        <v>518</v>
      </c>
      <c r="F68" s="14" t="s">
        <v>34</v>
      </c>
      <c r="G68" s="15" t="s">
        <v>519</v>
      </c>
      <c r="H68" s="14" t="s">
        <v>520</v>
      </c>
      <c r="I68" s="14" t="s">
        <v>37</v>
      </c>
      <c r="J68" s="14" t="s">
        <v>521</v>
      </c>
      <c r="K68" s="16" t="s">
        <v>522</v>
      </c>
      <c r="L68" s="17"/>
      <c r="M68" s="17"/>
      <c r="N68" s="11"/>
      <c r="O68" s="11"/>
    </row>
    <row r="69" ht="22.5" customHeight="1">
      <c r="A69" s="11"/>
      <c r="B69" s="12" t="s">
        <v>523</v>
      </c>
      <c r="C69" s="14" t="s">
        <v>524</v>
      </c>
      <c r="D69" s="14" t="s">
        <v>525</v>
      </c>
      <c r="E69" s="14" t="s">
        <v>526</v>
      </c>
      <c r="F69" s="14" t="s">
        <v>34</v>
      </c>
      <c r="G69" s="15" t="s">
        <v>527</v>
      </c>
      <c r="H69" s="14" t="s">
        <v>528</v>
      </c>
      <c r="I69" s="14" t="s">
        <v>37</v>
      </c>
      <c r="J69" s="14" t="s">
        <v>529</v>
      </c>
      <c r="K69" s="16" t="s">
        <v>530</v>
      </c>
      <c r="L69" s="17"/>
      <c r="M69" s="17"/>
      <c r="N69" s="11"/>
      <c r="O69" s="11"/>
    </row>
    <row r="70" ht="22.5" customHeight="1">
      <c r="A70" s="11"/>
      <c r="B70" s="12" t="s">
        <v>531</v>
      </c>
      <c r="C70" s="14" t="s">
        <v>532</v>
      </c>
      <c r="D70" s="14" t="s">
        <v>533</v>
      </c>
      <c r="E70" s="14" t="s">
        <v>534</v>
      </c>
      <c r="F70" s="14" t="s">
        <v>44</v>
      </c>
      <c r="G70" s="15" t="s">
        <v>535</v>
      </c>
      <c r="H70" s="14" t="s">
        <v>536</v>
      </c>
      <c r="I70" s="14" t="s">
        <v>37</v>
      </c>
      <c r="J70" s="14" t="s">
        <v>537</v>
      </c>
      <c r="K70" s="16" t="s">
        <v>538</v>
      </c>
      <c r="L70" s="17"/>
      <c r="M70" s="17"/>
      <c r="N70" s="11"/>
      <c r="O70" s="11"/>
    </row>
    <row r="71" ht="22.5" customHeight="1">
      <c r="A71" s="11"/>
      <c r="B71" s="12" t="s">
        <v>539</v>
      </c>
      <c r="C71" s="14" t="s">
        <v>540</v>
      </c>
      <c r="D71" s="14" t="s">
        <v>541</v>
      </c>
      <c r="E71" s="14" t="s">
        <v>542</v>
      </c>
      <c r="F71" s="14" t="s">
        <v>34</v>
      </c>
      <c r="G71" s="15" t="s">
        <v>543</v>
      </c>
      <c r="H71" s="14" t="s">
        <v>544</v>
      </c>
      <c r="I71" s="14" t="s">
        <v>399</v>
      </c>
      <c r="J71" s="14" t="s">
        <v>545</v>
      </c>
      <c r="K71" s="16" t="s">
        <v>546</v>
      </c>
      <c r="L71" s="17"/>
      <c r="M71" s="17"/>
      <c r="N71" s="11"/>
      <c r="O71" s="11"/>
    </row>
    <row r="72" ht="22.5" customHeight="1">
      <c r="A72" s="11"/>
      <c r="B72" s="12" t="s">
        <v>547</v>
      </c>
      <c r="C72" s="14" t="s">
        <v>548</v>
      </c>
      <c r="D72" s="14" t="s">
        <v>549</v>
      </c>
      <c r="E72" s="14" t="s">
        <v>550</v>
      </c>
      <c r="F72" s="14" t="s">
        <v>44</v>
      </c>
      <c r="G72" s="15" t="s">
        <v>551</v>
      </c>
      <c r="H72" s="14" t="s">
        <v>552</v>
      </c>
      <c r="I72" s="14" t="s">
        <v>37</v>
      </c>
      <c r="J72" s="14" t="s">
        <v>553</v>
      </c>
      <c r="K72" s="16" t="s">
        <v>554</v>
      </c>
      <c r="L72" s="17"/>
      <c r="M72" s="17"/>
      <c r="N72" s="11"/>
      <c r="O72" s="11"/>
    </row>
    <row r="73" ht="22.5" customHeight="1">
      <c r="A73" s="11"/>
      <c r="B73" s="12" t="s">
        <v>555</v>
      </c>
      <c r="C73" s="14" t="s">
        <v>556</v>
      </c>
      <c r="E73" s="14" t="s">
        <v>557</v>
      </c>
      <c r="F73" s="14" t="s">
        <v>62</v>
      </c>
      <c r="G73" s="15" t="s">
        <v>558</v>
      </c>
      <c r="H73" s="14" t="s">
        <v>559</v>
      </c>
      <c r="I73" s="14" t="s">
        <v>37</v>
      </c>
      <c r="J73" s="14" t="s">
        <v>560</v>
      </c>
      <c r="K73" s="16" t="s">
        <v>561</v>
      </c>
      <c r="L73" s="17"/>
      <c r="M73" s="17"/>
      <c r="N73" s="11"/>
      <c r="O73" s="11"/>
    </row>
    <row r="74" ht="22.5" customHeight="1">
      <c r="A74" s="11"/>
      <c r="B74" s="12" t="s">
        <v>562</v>
      </c>
      <c r="C74" s="13" t="s">
        <v>563</v>
      </c>
      <c r="D74" s="14" t="s">
        <v>564</v>
      </c>
      <c r="E74" s="14" t="s">
        <v>565</v>
      </c>
      <c r="F74" s="14" t="s">
        <v>34</v>
      </c>
      <c r="G74" s="15" t="s">
        <v>566</v>
      </c>
      <c r="H74" s="14" t="s">
        <v>567</v>
      </c>
      <c r="I74" s="14" t="s">
        <v>37</v>
      </c>
      <c r="J74" s="14" t="s">
        <v>568</v>
      </c>
      <c r="K74" s="16" t="s">
        <v>569</v>
      </c>
      <c r="L74" s="17"/>
      <c r="M74" s="17"/>
      <c r="N74" s="11"/>
      <c r="O74" s="11"/>
    </row>
    <row r="75" ht="22.5" customHeight="1">
      <c r="A75" s="11"/>
      <c r="B75" s="12" t="s">
        <v>570</v>
      </c>
      <c r="C75" s="14" t="s">
        <v>571</v>
      </c>
      <c r="D75" s="14" t="s">
        <v>572</v>
      </c>
      <c r="E75" s="14" t="s">
        <v>573</v>
      </c>
      <c r="F75" s="14" t="s">
        <v>34</v>
      </c>
      <c r="G75" s="15" t="s">
        <v>574</v>
      </c>
      <c r="H75" s="14" t="s">
        <v>575</v>
      </c>
      <c r="I75" s="14" t="s">
        <v>399</v>
      </c>
      <c r="J75" s="14" t="s">
        <v>576</v>
      </c>
      <c r="K75" s="16" t="s">
        <v>577</v>
      </c>
      <c r="L75" s="17"/>
      <c r="M75" s="17"/>
      <c r="N75" s="11"/>
      <c r="O75" s="11"/>
    </row>
    <row r="76" ht="22.5" customHeight="1">
      <c r="A76" s="11"/>
      <c r="B76" s="12" t="s">
        <v>578</v>
      </c>
      <c r="C76" s="14" t="s">
        <v>579</v>
      </c>
      <c r="D76" s="14" t="s">
        <v>580</v>
      </c>
      <c r="E76" s="14" t="s">
        <v>581</v>
      </c>
      <c r="F76" s="14" t="s">
        <v>62</v>
      </c>
      <c r="G76" s="15" t="s">
        <v>582</v>
      </c>
      <c r="H76" s="14" t="s">
        <v>583</v>
      </c>
      <c r="I76" s="14" t="s">
        <v>37</v>
      </c>
      <c r="J76" s="14" t="s">
        <v>584</v>
      </c>
      <c r="K76" s="16" t="s">
        <v>585</v>
      </c>
      <c r="L76" s="17"/>
      <c r="M76" s="17"/>
      <c r="N76" s="11"/>
      <c r="O76" s="11"/>
    </row>
    <row r="77" ht="22.5" customHeight="1">
      <c r="A77" s="11"/>
      <c r="B77" s="12" t="s">
        <v>586</v>
      </c>
      <c r="C77" s="14" t="s">
        <v>587</v>
      </c>
      <c r="D77" s="14" t="s">
        <v>588</v>
      </c>
      <c r="E77" s="14" t="s">
        <v>589</v>
      </c>
      <c r="F77" s="14" t="s">
        <v>34</v>
      </c>
      <c r="G77" s="15" t="s">
        <v>590</v>
      </c>
      <c r="H77" s="14" t="s">
        <v>591</v>
      </c>
      <c r="I77" s="14" t="s">
        <v>37</v>
      </c>
      <c r="J77" s="14" t="s">
        <v>592</v>
      </c>
      <c r="K77" s="16" t="s">
        <v>593</v>
      </c>
      <c r="L77" s="17"/>
      <c r="M77" s="17"/>
      <c r="N77" s="11"/>
      <c r="O77" s="11"/>
    </row>
    <row r="78" ht="22.5" customHeight="1">
      <c r="A78" s="11"/>
      <c r="B78" s="12" t="s">
        <v>326</v>
      </c>
      <c r="C78" s="14" t="s">
        <v>327</v>
      </c>
      <c r="D78" s="14" t="s">
        <v>594</v>
      </c>
      <c r="E78" s="14" t="s">
        <v>595</v>
      </c>
      <c r="F78" s="14" t="s">
        <v>62</v>
      </c>
      <c r="G78" s="15" t="s">
        <v>330</v>
      </c>
      <c r="H78" s="14" t="s">
        <v>331</v>
      </c>
      <c r="I78" s="14" t="s">
        <v>37</v>
      </c>
      <c r="J78" s="14" t="s">
        <v>596</v>
      </c>
      <c r="K78" s="16" t="s">
        <v>332</v>
      </c>
      <c r="L78" s="17"/>
      <c r="M78" s="17"/>
      <c r="N78" s="11"/>
      <c r="O78" s="11"/>
    </row>
    <row r="79" ht="22.5" customHeight="1">
      <c r="A79" s="11"/>
      <c r="B79" s="12" t="s">
        <v>597</v>
      </c>
      <c r="C79" s="14" t="s">
        <v>598</v>
      </c>
      <c r="D79" s="14" t="s">
        <v>599</v>
      </c>
      <c r="E79" s="14" t="s">
        <v>600</v>
      </c>
      <c r="F79" s="14" t="s">
        <v>44</v>
      </c>
      <c r="G79" s="15" t="s">
        <v>601</v>
      </c>
      <c r="H79" s="14" t="s">
        <v>602</v>
      </c>
      <c r="I79" s="14" t="s">
        <v>37</v>
      </c>
      <c r="J79" s="14" t="s">
        <v>603</v>
      </c>
      <c r="K79" s="16" t="s">
        <v>604</v>
      </c>
      <c r="L79" s="17"/>
      <c r="M79" s="17"/>
      <c r="N79" s="11"/>
      <c r="O79" s="11"/>
    </row>
    <row r="80" ht="22.5" customHeight="1">
      <c r="A80" s="11"/>
      <c r="B80" s="12" t="s">
        <v>74</v>
      </c>
      <c r="C80" s="14" t="s">
        <v>605</v>
      </c>
      <c r="D80" s="14" t="s">
        <v>605</v>
      </c>
      <c r="E80" s="14" t="s">
        <v>606</v>
      </c>
      <c r="F80" s="14" t="s">
        <v>44</v>
      </c>
      <c r="G80" s="15" t="s">
        <v>78</v>
      </c>
      <c r="H80" s="14" t="s">
        <v>79</v>
      </c>
      <c r="I80" s="14" t="s">
        <v>399</v>
      </c>
      <c r="J80" s="14" t="s">
        <v>607</v>
      </c>
      <c r="K80" s="16" t="s">
        <v>608</v>
      </c>
      <c r="L80" s="17"/>
      <c r="M80" s="17"/>
      <c r="N80" s="11"/>
      <c r="O80" s="11"/>
    </row>
    <row r="81" ht="22.5" customHeight="1">
      <c r="A81" s="11"/>
      <c r="B81" s="12" t="s">
        <v>609</v>
      </c>
      <c r="C81" s="14" t="s">
        <v>610</v>
      </c>
      <c r="D81" s="14" t="s">
        <v>611</v>
      </c>
      <c r="E81" s="14" t="s">
        <v>612</v>
      </c>
      <c r="F81" s="14" t="s">
        <v>23</v>
      </c>
      <c r="G81" s="15" t="s">
        <v>613</v>
      </c>
      <c r="H81" s="14" t="s">
        <v>614</v>
      </c>
      <c r="I81" s="14" t="s">
        <v>399</v>
      </c>
      <c r="J81" s="14" t="s">
        <v>615</v>
      </c>
      <c r="K81" s="16" t="s">
        <v>616</v>
      </c>
      <c r="L81" s="17"/>
      <c r="M81" s="17"/>
      <c r="N81" s="11"/>
      <c r="O81" s="11"/>
    </row>
    <row r="82" ht="22.5" customHeight="1">
      <c r="A82" s="11"/>
      <c r="B82" s="12" t="s">
        <v>617</v>
      </c>
      <c r="C82" s="14" t="s">
        <v>618</v>
      </c>
      <c r="D82" s="14" t="s">
        <v>619</v>
      </c>
      <c r="E82" s="14" t="s">
        <v>620</v>
      </c>
      <c r="F82" s="14" t="s">
        <v>44</v>
      </c>
      <c r="G82" s="15" t="s">
        <v>621</v>
      </c>
      <c r="H82" s="14" t="s">
        <v>622</v>
      </c>
      <c r="I82" s="14" t="s">
        <v>37</v>
      </c>
      <c r="J82" s="14" t="s">
        <v>623</v>
      </c>
      <c r="K82" s="16" t="s">
        <v>624</v>
      </c>
      <c r="L82" s="17"/>
      <c r="M82" s="17"/>
      <c r="N82" s="11"/>
      <c r="O82" s="11"/>
    </row>
    <row r="83" ht="22.5" customHeight="1">
      <c r="A83" s="11"/>
      <c r="B83" s="12" t="s">
        <v>625</v>
      </c>
      <c r="C83" s="14" t="s">
        <v>626</v>
      </c>
      <c r="D83" s="14" t="s">
        <v>627</v>
      </c>
      <c r="E83" s="14" t="s">
        <v>628</v>
      </c>
      <c r="F83" s="14" t="s">
        <v>34</v>
      </c>
      <c r="G83" s="15" t="s">
        <v>629</v>
      </c>
      <c r="H83" s="14" t="s">
        <v>630</v>
      </c>
      <c r="I83" s="14" t="s">
        <v>26</v>
      </c>
      <c r="J83" s="14" t="s">
        <v>631</v>
      </c>
      <c r="K83" s="16" t="s">
        <v>632</v>
      </c>
      <c r="L83" s="17"/>
      <c r="M83" s="17"/>
      <c r="N83" s="11"/>
      <c r="O83" s="11"/>
    </row>
    <row r="84" ht="22.5" customHeight="1">
      <c r="A84" s="11"/>
      <c r="B84" s="12" t="s">
        <v>633</v>
      </c>
      <c r="C84" s="14" t="s">
        <v>634</v>
      </c>
      <c r="D84" s="14" t="s">
        <v>635</v>
      </c>
      <c r="E84" s="14" t="s">
        <v>636</v>
      </c>
      <c r="F84" s="14" t="s">
        <v>34</v>
      </c>
      <c r="G84" s="15" t="s">
        <v>637</v>
      </c>
      <c r="H84" s="14" t="s">
        <v>638</v>
      </c>
      <c r="I84" s="14" t="s">
        <v>37</v>
      </c>
      <c r="J84" s="14" t="s">
        <v>639</v>
      </c>
      <c r="K84" s="16" t="s">
        <v>640</v>
      </c>
      <c r="L84" s="17"/>
      <c r="M84" s="17"/>
      <c r="N84" s="11"/>
      <c r="O84" s="11"/>
    </row>
    <row r="85" ht="22.5" customHeight="1">
      <c r="A85" s="11"/>
      <c r="B85" s="12" t="s">
        <v>641</v>
      </c>
      <c r="C85" s="14" t="s">
        <v>642</v>
      </c>
      <c r="D85" s="14" t="s">
        <v>643</v>
      </c>
      <c r="E85" s="14" t="s">
        <v>644</v>
      </c>
      <c r="F85" s="14" t="s">
        <v>34</v>
      </c>
      <c r="G85" s="15" t="s">
        <v>645</v>
      </c>
      <c r="H85" s="14" t="s">
        <v>646</v>
      </c>
      <c r="I85" s="14" t="s">
        <v>37</v>
      </c>
      <c r="J85" s="14" t="s">
        <v>647</v>
      </c>
      <c r="K85" s="16" t="s">
        <v>648</v>
      </c>
      <c r="L85" s="17"/>
      <c r="M85" s="17"/>
      <c r="N85" s="11"/>
      <c r="O85" s="11"/>
    </row>
    <row r="86" ht="22.5" customHeight="1">
      <c r="A86" s="11"/>
      <c r="B86" s="12" t="s">
        <v>649</v>
      </c>
      <c r="C86" s="14" t="s">
        <v>650</v>
      </c>
      <c r="D86" s="14" t="s">
        <v>651</v>
      </c>
      <c r="E86" s="14" t="s">
        <v>652</v>
      </c>
      <c r="F86" s="14" t="s">
        <v>34</v>
      </c>
      <c r="G86" s="15" t="s">
        <v>653</v>
      </c>
      <c r="H86" s="14" t="s">
        <v>654</v>
      </c>
      <c r="I86" s="14" t="s">
        <v>37</v>
      </c>
      <c r="J86" s="14" t="s">
        <v>655</v>
      </c>
      <c r="K86" s="16" t="s">
        <v>656</v>
      </c>
      <c r="L86" s="17"/>
      <c r="M86" s="17"/>
      <c r="N86" s="11"/>
      <c r="O86" s="11"/>
    </row>
    <row r="87" ht="22.5" customHeight="1">
      <c r="A87" s="11"/>
      <c r="B87" s="12" t="s">
        <v>657</v>
      </c>
      <c r="C87" s="14" t="s">
        <v>658</v>
      </c>
      <c r="D87" s="14" t="s">
        <v>659</v>
      </c>
      <c r="E87" s="14" t="s">
        <v>660</v>
      </c>
      <c r="F87" s="14" t="s">
        <v>34</v>
      </c>
      <c r="G87" s="15" t="s">
        <v>661</v>
      </c>
      <c r="H87" s="14" t="s">
        <v>662</v>
      </c>
      <c r="I87" s="14" t="s">
        <v>37</v>
      </c>
      <c r="J87" s="14" t="s">
        <v>663</v>
      </c>
      <c r="K87" s="16" t="s">
        <v>664</v>
      </c>
      <c r="L87" s="17"/>
      <c r="M87" s="17"/>
      <c r="N87" s="11"/>
      <c r="O87" s="11"/>
    </row>
    <row r="88" ht="22.5" customHeight="1">
      <c r="A88" s="11"/>
      <c r="B88" s="12" t="s">
        <v>665</v>
      </c>
      <c r="C88" s="14" t="s">
        <v>666</v>
      </c>
      <c r="D88" s="14" t="s">
        <v>667</v>
      </c>
      <c r="E88" s="14" t="s">
        <v>668</v>
      </c>
      <c r="F88" s="14" t="s">
        <v>34</v>
      </c>
      <c r="G88" s="15" t="s">
        <v>669</v>
      </c>
      <c r="H88" s="14" t="s">
        <v>670</v>
      </c>
      <c r="I88" s="14" t="s">
        <v>37</v>
      </c>
      <c r="J88" s="14" t="s">
        <v>671</v>
      </c>
      <c r="K88" s="16" t="s">
        <v>672</v>
      </c>
      <c r="L88" s="17"/>
      <c r="M88" s="17"/>
      <c r="N88" s="11"/>
      <c r="O88" s="11"/>
    </row>
    <row r="89" ht="22.5" customHeight="1">
      <c r="A89" s="11"/>
      <c r="B89" s="12" t="s">
        <v>673</v>
      </c>
      <c r="C89" s="14" t="s">
        <v>674</v>
      </c>
      <c r="D89" s="14" t="s">
        <v>675</v>
      </c>
      <c r="E89" s="14" t="s">
        <v>676</v>
      </c>
      <c r="F89" s="14" t="s">
        <v>62</v>
      </c>
      <c r="G89" s="15" t="s">
        <v>677</v>
      </c>
      <c r="H89" s="14" t="s">
        <v>678</v>
      </c>
      <c r="I89" s="14" t="s">
        <v>37</v>
      </c>
      <c r="J89" s="14" t="s">
        <v>679</v>
      </c>
      <c r="K89" s="16" t="s">
        <v>680</v>
      </c>
      <c r="L89" s="17"/>
      <c r="M89" s="17"/>
      <c r="N89" s="11"/>
      <c r="O89" s="11"/>
    </row>
    <row r="90" ht="22.5" customHeight="1">
      <c r="A90" s="11"/>
      <c r="B90" s="12" t="s">
        <v>681</v>
      </c>
      <c r="C90" s="14" t="s">
        <v>682</v>
      </c>
      <c r="D90" s="14" t="s">
        <v>683</v>
      </c>
      <c r="E90" s="14" t="s">
        <v>684</v>
      </c>
      <c r="F90" s="14" t="s">
        <v>34</v>
      </c>
      <c r="G90" s="15" t="s">
        <v>685</v>
      </c>
      <c r="H90" s="14" t="s">
        <v>686</v>
      </c>
      <c r="I90" s="14" t="s">
        <v>399</v>
      </c>
      <c r="J90" s="14" t="s">
        <v>687</v>
      </c>
      <c r="K90" s="16" t="s">
        <v>688</v>
      </c>
      <c r="L90" s="17"/>
      <c r="M90" s="17"/>
      <c r="N90" s="11"/>
      <c r="O90" s="11"/>
    </row>
    <row r="91" ht="22.5" customHeight="1">
      <c r="A91" s="11"/>
      <c r="B91" s="12" t="s">
        <v>689</v>
      </c>
      <c r="C91" s="14" t="s">
        <v>690</v>
      </c>
      <c r="D91" s="14" t="s">
        <v>691</v>
      </c>
      <c r="E91" s="14" t="s">
        <v>692</v>
      </c>
      <c r="F91" s="14" t="s">
        <v>34</v>
      </c>
      <c r="G91" s="15" t="s">
        <v>693</v>
      </c>
      <c r="H91" s="14" t="s">
        <v>694</v>
      </c>
      <c r="I91" s="14" t="s">
        <v>399</v>
      </c>
      <c r="J91" s="14" t="s">
        <v>695</v>
      </c>
      <c r="K91" s="16" t="s">
        <v>696</v>
      </c>
      <c r="L91" s="17"/>
      <c r="M91" s="17"/>
      <c r="N91" s="11"/>
      <c r="O91" s="11"/>
    </row>
    <row r="92" ht="22.5" customHeight="1">
      <c r="A92" s="11"/>
      <c r="B92" s="14" t="s">
        <v>697</v>
      </c>
      <c r="C92" s="14" t="s">
        <v>698</v>
      </c>
      <c r="D92" s="14" t="s">
        <v>699</v>
      </c>
      <c r="E92" s="14" t="s">
        <v>700</v>
      </c>
      <c r="F92" s="14" t="s">
        <v>34</v>
      </c>
      <c r="G92" s="15" t="s">
        <v>701</v>
      </c>
      <c r="H92" s="14" t="s">
        <v>702</v>
      </c>
      <c r="I92" s="14" t="s">
        <v>399</v>
      </c>
      <c r="J92" s="14" t="s">
        <v>703</v>
      </c>
      <c r="K92" s="16" t="s">
        <v>704</v>
      </c>
      <c r="L92" s="17"/>
      <c r="M92" s="17"/>
      <c r="N92" s="11"/>
      <c r="O92" s="11"/>
    </row>
    <row r="93" ht="22.5" customHeight="1">
      <c r="A93" s="11"/>
      <c r="B93" s="12" t="s">
        <v>705</v>
      </c>
      <c r="C93" s="14" t="s">
        <v>706</v>
      </c>
      <c r="D93" s="14" t="s">
        <v>707</v>
      </c>
      <c r="E93" s="14" t="s">
        <v>708</v>
      </c>
      <c r="F93" s="14" t="s">
        <v>23</v>
      </c>
      <c r="G93" s="15" t="s">
        <v>709</v>
      </c>
      <c r="H93" s="14" t="s">
        <v>710</v>
      </c>
      <c r="I93" s="14" t="s">
        <v>399</v>
      </c>
      <c r="J93" s="14" t="s">
        <v>711</v>
      </c>
      <c r="K93" s="16" t="s">
        <v>712</v>
      </c>
      <c r="L93" s="17"/>
      <c r="M93" s="17"/>
      <c r="N93" s="11"/>
      <c r="O93" s="11"/>
    </row>
    <row r="94" ht="22.5" customHeight="1">
      <c r="A94" s="11"/>
      <c r="B94" s="12" t="s">
        <v>713</v>
      </c>
      <c r="C94" s="14" t="s">
        <v>714</v>
      </c>
      <c r="D94" s="14" t="s">
        <v>715</v>
      </c>
      <c r="E94" s="14" t="s">
        <v>716</v>
      </c>
      <c r="F94" s="14" t="s">
        <v>34</v>
      </c>
      <c r="G94" s="15" t="s">
        <v>717</v>
      </c>
      <c r="H94" s="14" t="s">
        <v>718</v>
      </c>
      <c r="I94" s="14" t="s">
        <v>37</v>
      </c>
      <c r="J94" s="14" t="s">
        <v>719</v>
      </c>
      <c r="K94" s="16" t="s">
        <v>720</v>
      </c>
      <c r="L94" s="17"/>
      <c r="M94" s="17"/>
      <c r="N94" s="11"/>
      <c r="O94" s="11"/>
    </row>
    <row r="95" ht="22.5" customHeight="1">
      <c r="A95" s="11"/>
      <c r="B95" s="12" t="s">
        <v>721</v>
      </c>
      <c r="C95" s="14" t="s">
        <v>722</v>
      </c>
      <c r="D95" s="14" t="s">
        <v>723</v>
      </c>
      <c r="E95" s="14" t="s">
        <v>724</v>
      </c>
      <c r="F95" s="14" t="s">
        <v>34</v>
      </c>
      <c r="G95" s="15" t="s">
        <v>725</v>
      </c>
      <c r="H95" s="14" t="s">
        <v>726</v>
      </c>
      <c r="I95" s="14" t="s">
        <v>399</v>
      </c>
      <c r="J95" s="14" t="s">
        <v>727</v>
      </c>
      <c r="K95" s="16" t="s">
        <v>728</v>
      </c>
      <c r="L95" s="17"/>
      <c r="M95" s="17"/>
      <c r="N95" s="11"/>
      <c r="O95" s="11"/>
    </row>
    <row r="96" ht="22.5" customHeight="1">
      <c r="A96" s="11"/>
      <c r="B96" s="14" t="s">
        <v>729</v>
      </c>
      <c r="C96" s="14" t="s">
        <v>730</v>
      </c>
      <c r="D96" s="14" t="s">
        <v>731</v>
      </c>
      <c r="E96" s="14" t="s">
        <v>732</v>
      </c>
      <c r="F96" s="14" t="s">
        <v>62</v>
      </c>
      <c r="G96" s="15" t="s">
        <v>733</v>
      </c>
      <c r="H96" s="14" t="s">
        <v>734</v>
      </c>
      <c r="I96" s="14" t="s">
        <v>37</v>
      </c>
      <c r="J96" s="14" t="s">
        <v>735</v>
      </c>
      <c r="K96" s="16" t="s">
        <v>736</v>
      </c>
      <c r="L96" s="17"/>
      <c r="M96" s="17"/>
      <c r="N96" s="11"/>
      <c r="O96" s="11"/>
    </row>
    <row r="97" ht="22.5" customHeight="1">
      <c r="A97" s="11"/>
      <c r="B97" s="12" t="s">
        <v>737</v>
      </c>
      <c r="C97" s="14" t="s">
        <v>738</v>
      </c>
      <c r="D97" s="14" t="s">
        <v>739</v>
      </c>
      <c r="E97" s="14" t="s">
        <v>740</v>
      </c>
      <c r="F97" s="14" t="s">
        <v>34</v>
      </c>
      <c r="G97" s="15" t="s">
        <v>741</v>
      </c>
      <c r="H97" s="14" t="s">
        <v>742</v>
      </c>
      <c r="I97" s="14" t="s">
        <v>37</v>
      </c>
      <c r="J97" s="14" t="s">
        <v>743</v>
      </c>
      <c r="K97" s="16" t="s">
        <v>744</v>
      </c>
      <c r="L97" s="17"/>
      <c r="M97" s="17"/>
      <c r="N97" s="11"/>
      <c r="O97" s="11"/>
    </row>
    <row r="98" ht="22.5" customHeight="1">
      <c r="A98" s="11"/>
      <c r="B98" s="12" t="s">
        <v>745</v>
      </c>
      <c r="C98" s="14" t="s">
        <v>746</v>
      </c>
      <c r="D98" s="14" t="s">
        <v>747</v>
      </c>
      <c r="E98" s="14" t="s">
        <v>748</v>
      </c>
      <c r="F98" s="14" t="s">
        <v>44</v>
      </c>
      <c r="G98" s="15" t="s">
        <v>749</v>
      </c>
      <c r="H98" s="14" t="s">
        <v>750</v>
      </c>
      <c r="I98" s="14" t="s">
        <v>26</v>
      </c>
      <c r="J98" s="14" t="s">
        <v>751</v>
      </c>
      <c r="K98" s="16" t="s">
        <v>752</v>
      </c>
      <c r="L98" s="17"/>
      <c r="M98" s="17"/>
      <c r="N98" s="11"/>
      <c r="O98" s="11"/>
    </row>
    <row r="99" ht="22.5" customHeight="1">
      <c r="A99" s="11"/>
      <c r="B99" s="12" t="s">
        <v>753</v>
      </c>
      <c r="C99" s="14" t="s">
        <v>754</v>
      </c>
      <c r="D99" s="14" t="s">
        <v>755</v>
      </c>
      <c r="E99" s="14" t="s">
        <v>756</v>
      </c>
      <c r="F99" s="14" t="s">
        <v>34</v>
      </c>
      <c r="G99" s="15" t="s">
        <v>757</v>
      </c>
      <c r="H99" s="14" t="s">
        <v>758</v>
      </c>
      <c r="I99" s="14" t="s">
        <v>399</v>
      </c>
      <c r="J99" s="14" t="s">
        <v>759</v>
      </c>
      <c r="K99" s="16" t="s">
        <v>760</v>
      </c>
      <c r="L99" s="17"/>
      <c r="M99" s="17"/>
      <c r="N99" s="11"/>
      <c r="O99" s="11"/>
    </row>
    <row r="100" ht="22.5" customHeight="1">
      <c r="A100" s="11"/>
      <c r="B100" s="12" t="s">
        <v>761</v>
      </c>
      <c r="C100" s="14" t="s">
        <v>762</v>
      </c>
      <c r="D100" s="14" t="s">
        <v>763</v>
      </c>
      <c r="E100" s="14" t="s">
        <v>764</v>
      </c>
      <c r="F100" s="14" t="s">
        <v>23</v>
      </c>
      <c r="G100" s="15" t="s">
        <v>765</v>
      </c>
      <c r="H100" s="14" t="s">
        <v>766</v>
      </c>
      <c r="I100" s="14" t="s">
        <v>37</v>
      </c>
      <c r="J100" s="14" t="s">
        <v>767</v>
      </c>
      <c r="K100" s="16" t="s">
        <v>768</v>
      </c>
      <c r="L100" s="17"/>
      <c r="M100" s="17"/>
      <c r="N100" s="11"/>
      <c r="O100" s="11"/>
    </row>
    <row r="101" ht="22.5" customHeight="1">
      <c r="A101" s="11"/>
      <c r="B101" s="12" t="s">
        <v>769</v>
      </c>
      <c r="C101" s="14" t="s">
        <v>770</v>
      </c>
      <c r="D101" s="14" t="s">
        <v>771</v>
      </c>
      <c r="E101" s="14" t="s">
        <v>772</v>
      </c>
      <c r="F101" s="14" t="s">
        <v>34</v>
      </c>
      <c r="G101" s="15" t="s">
        <v>773</v>
      </c>
      <c r="H101" s="14" t="s">
        <v>774</v>
      </c>
      <c r="I101" s="14" t="s">
        <v>37</v>
      </c>
      <c r="J101" s="14" t="s">
        <v>775</v>
      </c>
      <c r="K101" s="16" t="s">
        <v>776</v>
      </c>
      <c r="L101" s="17"/>
      <c r="M101" s="17"/>
      <c r="N101" s="11"/>
      <c r="O101" s="11"/>
    </row>
    <row r="102" ht="22.5" customHeight="1">
      <c r="A102" s="11"/>
      <c r="B102" s="12" t="s">
        <v>777</v>
      </c>
      <c r="C102" s="14" t="s">
        <v>778</v>
      </c>
      <c r="D102" s="14" t="s">
        <v>779</v>
      </c>
      <c r="E102" s="14" t="s">
        <v>780</v>
      </c>
      <c r="F102" s="14" t="s">
        <v>34</v>
      </c>
      <c r="G102" s="15" t="s">
        <v>781</v>
      </c>
      <c r="H102" s="14" t="s">
        <v>782</v>
      </c>
      <c r="I102" s="14" t="s">
        <v>399</v>
      </c>
      <c r="J102" s="14" t="s">
        <v>783</v>
      </c>
      <c r="K102" s="16" t="s">
        <v>784</v>
      </c>
      <c r="L102" s="17"/>
      <c r="M102" s="17"/>
      <c r="N102" s="11"/>
      <c r="O102" s="11"/>
    </row>
    <row r="103" ht="22.5" customHeight="1">
      <c r="A103" s="11"/>
      <c r="B103" s="12" t="s">
        <v>785</v>
      </c>
      <c r="C103" s="14" t="s">
        <v>786</v>
      </c>
      <c r="D103" s="14" t="s">
        <v>787</v>
      </c>
      <c r="E103" s="14" t="s">
        <v>788</v>
      </c>
      <c r="F103" s="14" t="s">
        <v>44</v>
      </c>
      <c r="G103" s="15" t="s">
        <v>789</v>
      </c>
      <c r="H103" s="14" t="s">
        <v>790</v>
      </c>
      <c r="I103" s="14" t="s">
        <v>37</v>
      </c>
      <c r="J103" s="14" t="s">
        <v>791</v>
      </c>
      <c r="K103" s="16" t="s">
        <v>792</v>
      </c>
      <c r="L103" s="17"/>
      <c r="M103" s="17"/>
      <c r="N103" s="11"/>
      <c r="O103" s="11"/>
    </row>
    <row r="104" ht="22.5" customHeight="1">
      <c r="A104" s="11"/>
      <c r="B104" s="12" t="s">
        <v>793</v>
      </c>
      <c r="C104" s="14" t="s">
        <v>794</v>
      </c>
      <c r="D104" s="14" t="s">
        <v>795</v>
      </c>
      <c r="E104" s="14" t="s">
        <v>796</v>
      </c>
      <c r="F104" s="14" t="s">
        <v>44</v>
      </c>
      <c r="G104" s="15" t="s">
        <v>797</v>
      </c>
      <c r="H104" s="14" t="s">
        <v>798</v>
      </c>
      <c r="I104" s="14" t="s">
        <v>37</v>
      </c>
      <c r="J104" s="14" t="s">
        <v>799</v>
      </c>
      <c r="K104" s="16" t="s">
        <v>800</v>
      </c>
      <c r="L104" s="17"/>
      <c r="M104" s="17"/>
      <c r="N104" s="11"/>
      <c r="O104" s="11"/>
    </row>
    <row r="105" ht="22.5" customHeight="1">
      <c r="A105" s="11"/>
      <c r="B105" s="12" t="s">
        <v>801</v>
      </c>
      <c r="C105" s="14" t="s">
        <v>802</v>
      </c>
      <c r="D105" s="14" t="s">
        <v>803</v>
      </c>
      <c r="E105" s="14" t="s">
        <v>804</v>
      </c>
      <c r="F105" s="14" t="s">
        <v>238</v>
      </c>
      <c r="G105" s="15" t="s">
        <v>805</v>
      </c>
      <c r="H105" s="14" t="s">
        <v>806</v>
      </c>
      <c r="I105" s="14" t="s">
        <v>37</v>
      </c>
      <c r="J105" s="14" t="s">
        <v>807</v>
      </c>
      <c r="K105" s="16" t="s">
        <v>808</v>
      </c>
      <c r="L105" s="17"/>
      <c r="M105" s="17"/>
      <c r="N105" s="11"/>
      <c r="O105" s="11"/>
    </row>
    <row r="106" ht="22.5" customHeight="1">
      <c r="A106" s="11"/>
      <c r="B106" s="12" t="s">
        <v>809</v>
      </c>
      <c r="C106" s="14" t="s">
        <v>810</v>
      </c>
      <c r="D106" s="14" t="s">
        <v>811</v>
      </c>
      <c r="E106" s="14" t="s">
        <v>812</v>
      </c>
      <c r="F106" s="14" t="s">
        <v>62</v>
      </c>
      <c r="G106" s="15" t="s">
        <v>813</v>
      </c>
      <c r="H106" s="14" t="s">
        <v>814</v>
      </c>
      <c r="I106" s="14" t="s">
        <v>37</v>
      </c>
      <c r="J106" s="14" t="s">
        <v>815</v>
      </c>
      <c r="K106" s="16" t="s">
        <v>816</v>
      </c>
      <c r="L106" s="17"/>
      <c r="M106" s="17"/>
      <c r="N106" s="11"/>
      <c r="O106" s="11"/>
    </row>
    <row r="107" ht="22.5" customHeight="1">
      <c r="A107" s="11"/>
      <c r="B107" s="12" t="s">
        <v>817</v>
      </c>
      <c r="C107" s="14" t="s">
        <v>818</v>
      </c>
      <c r="D107" s="14" t="s">
        <v>819</v>
      </c>
      <c r="E107" s="14" t="s">
        <v>820</v>
      </c>
      <c r="F107" s="14" t="s">
        <v>23</v>
      </c>
      <c r="G107" s="15" t="s">
        <v>821</v>
      </c>
      <c r="H107" s="14" t="s">
        <v>822</v>
      </c>
      <c r="I107" s="14" t="s">
        <v>37</v>
      </c>
      <c r="J107" s="14" t="s">
        <v>823</v>
      </c>
      <c r="K107" s="16" t="s">
        <v>824</v>
      </c>
      <c r="L107" s="17"/>
      <c r="M107" s="17"/>
      <c r="N107" s="11"/>
      <c r="O107" s="11"/>
    </row>
    <row r="108" ht="22.5" customHeight="1">
      <c r="A108" s="11"/>
      <c r="B108" s="12" t="s">
        <v>825</v>
      </c>
      <c r="C108" s="14" t="s">
        <v>826</v>
      </c>
      <c r="D108" s="14" t="s">
        <v>827</v>
      </c>
      <c r="E108" s="14" t="s">
        <v>828</v>
      </c>
      <c r="F108" s="14" t="s">
        <v>62</v>
      </c>
      <c r="G108" s="15" t="s">
        <v>829</v>
      </c>
      <c r="H108" s="14" t="s">
        <v>830</v>
      </c>
      <c r="I108" s="14" t="s">
        <v>37</v>
      </c>
      <c r="J108" s="14" t="s">
        <v>831</v>
      </c>
      <c r="K108" s="16" t="s">
        <v>832</v>
      </c>
      <c r="L108" s="17"/>
      <c r="M108" s="17"/>
      <c r="N108" s="11"/>
      <c r="O108" s="11"/>
    </row>
    <row r="109" ht="22.5" customHeight="1">
      <c r="A109" s="11"/>
      <c r="B109" s="12" t="s">
        <v>833</v>
      </c>
      <c r="C109" s="14" t="s">
        <v>834</v>
      </c>
      <c r="D109" s="14" t="s">
        <v>835</v>
      </c>
      <c r="E109" s="14" t="s">
        <v>836</v>
      </c>
      <c r="F109" s="14" t="s">
        <v>34</v>
      </c>
      <c r="G109" s="15" t="s">
        <v>837</v>
      </c>
      <c r="H109" s="14" t="s">
        <v>838</v>
      </c>
      <c r="I109" s="14" t="s">
        <v>399</v>
      </c>
      <c r="J109" s="14" t="s">
        <v>839</v>
      </c>
      <c r="K109" s="16" t="s">
        <v>840</v>
      </c>
      <c r="L109" s="17"/>
      <c r="M109" s="17"/>
      <c r="N109" s="11"/>
      <c r="O109" s="11"/>
    </row>
    <row r="110" ht="22.5" customHeight="1">
      <c r="A110" s="11"/>
      <c r="B110" s="12" t="s">
        <v>841</v>
      </c>
      <c r="C110" s="14" t="s">
        <v>842</v>
      </c>
      <c r="D110" s="14" t="s">
        <v>843</v>
      </c>
      <c r="E110" s="14" t="s">
        <v>844</v>
      </c>
      <c r="F110" s="14" t="s">
        <v>238</v>
      </c>
      <c r="G110" s="15" t="s">
        <v>845</v>
      </c>
      <c r="H110" s="14" t="s">
        <v>846</v>
      </c>
      <c r="I110" s="14" t="s">
        <v>37</v>
      </c>
      <c r="J110" s="14" t="s">
        <v>847</v>
      </c>
      <c r="K110" s="16" t="s">
        <v>848</v>
      </c>
      <c r="L110" s="17"/>
      <c r="M110" s="17"/>
      <c r="N110" s="11"/>
      <c r="O110" s="11"/>
    </row>
    <row r="111" ht="22.5" customHeight="1">
      <c r="A111" s="11"/>
      <c r="B111" s="12" t="s">
        <v>849</v>
      </c>
      <c r="C111" s="14" t="s">
        <v>850</v>
      </c>
      <c r="D111" s="14" t="s">
        <v>851</v>
      </c>
      <c r="E111" s="14" t="s">
        <v>852</v>
      </c>
      <c r="F111" s="14" t="s">
        <v>853</v>
      </c>
      <c r="G111" s="15" t="s">
        <v>854</v>
      </c>
      <c r="H111" s="14" t="s">
        <v>855</v>
      </c>
      <c r="I111" s="14" t="s">
        <v>37</v>
      </c>
      <c r="J111" s="14" t="s">
        <v>856</v>
      </c>
      <c r="K111" s="16" t="s">
        <v>857</v>
      </c>
      <c r="L111" s="17"/>
      <c r="M111" s="17"/>
      <c r="N111" s="11"/>
      <c r="O111" s="11"/>
    </row>
    <row r="112" ht="22.5" customHeight="1">
      <c r="A112" s="11"/>
      <c r="B112" s="12" t="s">
        <v>858</v>
      </c>
      <c r="C112" s="14" t="s">
        <v>859</v>
      </c>
      <c r="D112" s="14" t="s">
        <v>860</v>
      </c>
      <c r="E112" s="14" t="s">
        <v>861</v>
      </c>
      <c r="F112" s="14" t="s">
        <v>44</v>
      </c>
      <c r="G112" s="15" t="s">
        <v>862</v>
      </c>
      <c r="H112" s="14" t="s">
        <v>863</v>
      </c>
      <c r="I112" s="14" t="s">
        <v>37</v>
      </c>
      <c r="J112" s="14" t="s">
        <v>864</v>
      </c>
      <c r="K112" s="16" t="s">
        <v>865</v>
      </c>
      <c r="L112" s="17"/>
      <c r="M112" s="17"/>
      <c r="N112" s="11"/>
      <c r="O112" s="11"/>
    </row>
    <row r="113" ht="22.5" customHeight="1">
      <c r="A113" s="11"/>
      <c r="B113" s="12" t="s">
        <v>866</v>
      </c>
      <c r="C113" s="14" t="s">
        <v>867</v>
      </c>
      <c r="D113" s="14" t="s">
        <v>868</v>
      </c>
      <c r="E113" s="14" t="s">
        <v>869</v>
      </c>
      <c r="F113" s="14" t="s">
        <v>34</v>
      </c>
      <c r="G113" s="15" t="s">
        <v>870</v>
      </c>
      <c r="H113" s="14" t="s">
        <v>871</v>
      </c>
      <c r="I113" s="14" t="s">
        <v>37</v>
      </c>
      <c r="J113" s="14" t="s">
        <v>872</v>
      </c>
      <c r="K113" s="16" t="s">
        <v>873</v>
      </c>
      <c r="L113" s="17"/>
      <c r="M113" s="17"/>
      <c r="N113" s="11"/>
      <c r="O113" s="11"/>
    </row>
    <row r="114" ht="22.5" customHeight="1">
      <c r="A114" s="11"/>
      <c r="B114" s="12" t="s">
        <v>874</v>
      </c>
      <c r="C114" s="14" t="s">
        <v>875</v>
      </c>
      <c r="D114" s="14" t="s">
        <v>876</v>
      </c>
      <c r="E114" s="14" t="s">
        <v>877</v>
      </c>
      <c r="F114" s="14" t="s">
        <v>62</v>
      </c>
      <c r="G114" s="15" t="s">
        <v>878</v>
      </c>
      <c r="H114" s="14" t="s">
        <v>879</v>
      </c>
      <c r="I114" s="14" t="s">
        <v>37</v>
      </c>
      <c r="J114" s="14" t="s">
        <v>880</v>
      </c>
      <c r="K114" s="16" t="s">
        <v>881</v>
      </c>
      <c r="L114" s="17"/>
      <c r="M114" s="17"/>
      <c r="N114" s="11"/>
      <c r="O114" s="11"/>
    </row>
    <row r="115" ht="22.5" customHeight="1">
      <c r="A115" s="11"/>
      <c r="B115" s="12" t="s">
        <v>882</v>
      </c>
      <c r="C115" s="14" t="s">
        <v>883</v>
      </c>
      <c r="D115" s="14" t="s">
        <v>884</v>
      </c>
      <c r="E115" s="14" t="s">
        <v>885</v>
      </c>
      <c r="F115" s="14" t="s">
        <v>137</v>
      </c>
      <c r="G115" s="15" t="s">
        <v>886</v>
      </c>
      <c r="H115" s="14" t="s">
        <v>887</v>
      </c>
      <c r="I115" s="14" t="s">
        <v>399</v>
      </c>
      <c r="J115" s="14" t="s">
        <v>888</v>
      </c>
      <c r="K115" s="16" t="s">
        <v>889</v>
      </c>
      <c r="L115" s="17"/>
      <c r="M115" s="17"/>
      <c r="N115" s="11"/>
      <c r="O115" s="11"/>
    </row>
    <row r="116" ht="22.5" customHeight="1">
      <c r="A116" s="11"/>
      <c r="B116" s="12" t="s">
        <v>890</v>
      </c>
      <c r="C116" s="14" t="s">
        <v>891</v>
      </c>
      <c r="D116" s="14" t="s">
        <v>892</v>
      </c>
      <c r="E116" s="14" t="s">
        <v>893</v>
      </c>
      <c r="F116" s="14" t="s">
        <v>44</v>
      </c>
      <c r="G116" s="15" t="s">
        <v>894</v>
      </c>
      <c r="H116" s="14" t="s">
        <v>895</v>
      </c>
      <c r="I116" s="14" t="s">
        <v>37</v>
      </c>
      <c r="J116" s="14" t="s">
        <v>896</v>
      </c>
      <c r="K116" s="16" t="s">
        <v>897</v>
      </c>
      <c r="L116" s="17"/>
      <c r="M116" s="17"/>
      <c r="N116" s="11"/>
      <c r="O116" s="11"/>
    </row>
    <row r="117" ht="22.5" customHeight="1">
      <c r="A117" s="11"/>
      <c r="B117" s="12" t="s">
        <v>898</v>
      </c>
      <c r="C117" s="14" t="s">
        <v>899</v>
      </c>
      <c r="D117" s="14" t="s">
        <v>900</v>
      </c>
      <c r="E117" s="14" t="s">
        <v>901</v>
      </c>
      <c r="F117" s="14" t="s">
        <v>62</v>
      </c>
      <c r="G117" s="15" t="s">
        <v>902</v>
      </c>
      <c r="H117" s="14" t="s">
        <v>903</v>
      </c>
      <c r="I117" s="14" t="s">
        <v>399</v>
      </c>
      <c r="J117" s="14" t="s">
        <v>904</v>
      </c>
      <c r="K117" s="16" t="s">
        <v>905</v>
      </c>
      <c r="L117" s="17"/>
      <c r="M117" s="17"/>
      <c r="N117" s="11"/>
      <c r="O117" s="11"/>
    </row>
    <row r="118" ht="22.5" customHeight="1">
      <c r="A118" s="11"/>
      <c r="B118" s="12" t="s">
        <v>906</v>
      </c>
      <c r="C118" s="14" t="s">
        <v>907</v>
      </c>
      <c r="D118" s="14" t="s">
        <v>908</v>
      </c>
      <c r="E118" s="14" t="s">
        <v>909</v>
      </c>
      <c r="F118" s="14" t="s">
        <v>34</v>
      </c>
      <c r="G118" s="15" t="s">
        <v>910</v>
      </c>
      <c r="H118" s="14" t="s">
        <v>911</v>
      </c>
      <c r="I118" s="14" t="s">
        <v>37</v>
      </c>
      <c r="J118" s="14" t="s">
        <v>912</v>
      </c>
      <c r="K118" s="16" t="s">
        <v>913</v>
      </c>
      <c r="L118" s="17"/>
      <c r="M118" s="17"/>
      <c r="N118" s="11"/>
      <c r="O118" s="11"/>
    </row>
    <row r="119" ht="22.5" customHeight="1">
      <c r="A119" s="11"/>
      <c r="B119" s="12" t="s">
        <v>914</v>
      </c>
      <c r="C119" s="14" t="s">
        <v>915</v>
      </c>
      <c r="D119" s="14" t="s">
        <v>916</v>
      </c>
      <c r="E119" s="14" t="s">
        <v>917</v>
      </c>
      <c r="F119" s="14" t="s">
        <v>34</v>
      </c>
      <c r="G119" s="15" t="s">
        <v>918</v>
      </c>
      <c r="H119" s="14" t="s">
        <v>919</v>
      </c>
      <c r="I119" s="14" t="s">
        <v>37</v>
      </c>
      <c r="J119" s="14" t="s">
        <v>920</v>
      </c>
      <c r="K119" s="16" t="s">
        <v>921</v>
      </c>
      <c r="L119" s="17"/>
      <c r="M119" s="17"/>
      <c r="N119" s="11"/>
      <c r="O119" s="11"/>
    </row>
    <row r="120" ht="22.5" customHeight="1">
      <c r="A120" s="11"/>
      <c r="B120" s="12" t="s">
        <v>922</v>
      </c>
      <c r="C120" s="14" t="s">
        <v>923</v>
      </c>
      <c r="D120" s="14" t="s">
        <v>924</v>
      </c>
      <c r="E120" s="14" t="s">
        <v>925</v>
      </c>
      <c r="F120" s="14" t="s">
        <v>34</v>
      </c>
      <c r="G120" s="15" t="s">
        <v>926</v>
      </c>
      <c r="H120" s="14" t="s">
        <v>927</v>
      </c>
      <c r="I120" s="14" t="s">
        <v>37</v>
      </c>
      <c r="J120" s="14" t="s">
        <v>928</v>
      </c>
      <c r="K120" s="16" t="s">
        <v>929</v>
      </c>
      <c r="L120" s="17"/>
      <c r="M120" s="17"/>
      <c r="N120" s="11"/>
      <c r="O120" s="11"/>
    </row>
    <row r="121" ht="22.5" customHeight="1">
      <c r="A121" s="11"/>
      <c r="B121" s="12" t="s">
        <v>930</v>
      </c>
      <c r="C121" s="14" t="s">
        <v>931</v>
      </c>
      <c r="D121" s="14" t="s">
        <v>932</v>
      </c>
      <c r="E121" s="14" t="s">
        <v>933</v>
      </c>
      <c r="F121" s="14" t="s">
        <v>62</v>
      </c>
      <c r="G121" s="15" t="s">
        <v>934</v>
      </c>
      <c r="H121" s="14" t="s">
        <v>935</v>
      </c>
      <c r="I121" s="14" t="s">
        <v>37</v>
      </c>
      <c r="J121" s="14" t="s">
        <v>936</v>
      </c>
      <c r="K121" s="16" t="s">
        <v>937</v>
      </c>
      <c r="L121" s="17"/>
      <c r="M121" s="17"/>
      <c r="N121" s="11"/>
      <c r="O121" s="11"/>
    </row>
    <row r="122" ht="22.5" customHeight="1">
      <c r="A122" s="11"/>
      <c r="B122" s="12" t="s">
        <v>938</v>
      </c>
      <c r="C122" s="14" t="s">
        <v>939</v>
      </c>
      <c r="D122" s="14" t="s">
        <v>940</v>
      </c>
      <c r="E122" s="14" t="s">
        <v>941</v>
      </c>
      <c r="F122" s="14" t="s">
        <v>44</v>
      </c>
      <c r="G122" s="15" t="s">
        <v>942</v>
      </c>
      <c r="H122" s="14" t="s">
        <v>943</v>
      </c>
      <c r="I122" s="14" t="s">
        <v>37</v>
      </c>
      <c r="J122" s="14" t="s">
        <v>944</v>
      </c>
      <c r="K122" s="16" t="s">
        <v>945</v>
      </c>
      <c r="L122" s="17"/>
      <c r="M122" s="17"/>
      <c r="N122" s="11"/>
      <c r="O122" s="11"/>
    </row>
    <row r="123" ht="22.5" customHeight="1">
      <c r="A123" s="11"/>
      <c r="B123" s="12" t="s">
        <v>946</v>
      </c>
      <c r="C123" s="14" t="s">
        <v>947</v>
      </c>
      <c r="D123" s="14" t="s">
        <v>948</v>
      </c>
      <c r="E123" s="14" t="s">
        <v>949</v>
      </c>
      <c r="F123" s="14" t="s">
        <v>34</v>
      </c>
      <c r="G123" s="15" t="s">
        <v>950</v>
      </c>
      <c r="H123" s="14" t="s">
        <v>951</v>
      </c>
      <c r="I123" s="14" t="s">
        <v>26</v>
      </c>
      <c r="J123" s="14" t="s">
        <v>952</v>
      </c>
      <c r="K123" s="16" t="s">
        <v>953</v>
      </c>
      <c r="L123" s="17"/>
      <c r="M123" s="17"/>
      <c r="N123" s="11"/>
      <c r="O123" s="11"/>
    </row>
    <row r="124" ht="22.5" customHeight="1">
      <c r="A124" s="11"/>
      <c r="B124" s="12" t="s">
        <v>954</v>
      </c>
      <c r="C124" s="14" t="s">
        <v>955</v>
      </c>
      <c r="D124" s="14" t="s">
        <v>956</v>
      </c>
      <c r="E124" s="14" t="s">
        <v>957</v>
      </c>
      <c r="F124" s="14" t="s">
        <v>44</v>
      </c>
      <c r="G124" s="15" t="s">
        <v>958</v>
      </c>
      <c r="H124" s="14" t="s">
        <v>959</v>
      </c>
      <c r="I124" s="14" t="s">
        <v>37</v>
      </c>
      <c r="J124" s="14" t="s">
        <v>960</v>
      </c>
      <c r="K124" s="16" t="s">
        <v>961</v>
      </c>
      <c r="L124" s="17"/>
      <c r="M124" s="17"/>
      <c r="N124" s="11"/>
      <c r="O124" s="11"/>
    </row>
    <row r="125" ht="22.5" customHeight="1">
      <c r="A125" s="11"/>
      <c r="B125" s="12" t="s">
        <v>962</v>
      </c>
      <c r="C125" s="14" t="s">
        <v>963</v>
      </c>
      <c r="D125" s="14" t="s">
        <v>964</v>
      </c>
      <c r="E125" s="14" t="s">
        <v>965</v>
      </c>
      <c r="F125" s="14" t="s">
        <v>966</v>
      </c>
      <c r="G125" s="15" t="s">
        <v>967</v>
      </c>
      <c r="H125" s="14" t="s">
        <v>968</v>
      </c>
      <c r="I125" s="14" t="s">
        <v>37</v>
      </c>
      <c r="J125" s="14" t="s">
        <v>969</v>
      </c>
      <c r="K125" s="16" t="s">
        <v>970</v>
      </c>
      <c r="L125" s="17"/>
      <c r="M125" s="17"/>
      <c r="N125" s="11"/>
      <c r="O125" s="11"/>
    </row>
    <row r="126" ht="22.5" customHeight="1">
      <c r="A126" s="11"/>
      <c r="B126" s="12" t="s">
        <v>971</v>
      </c>
      <c r="C126" s="14" t="s">
        <v>972</v>
      </c>
      <c r="D126" s="14" t="s">
        <v>973</v>
      </c>
      <c r="E126" s="14" t="s">
        <v>974</v>
      </c>
      <c r="F126" s="14" t="s">
        <v>34</v>
      </c>
      <c r="G126" s="15" t="s">
        <v>975</v>
      </c>
      <c r="H126" s="14" t="s">
        <v>976</v>
      </c>
      <c r="I126" s="14" t="s">
        <v>37</v>
      </c>
      <c r="J126" s="14" t="s">
        <v>977</v>
      </c>
      <c r="K126" s="16" t="s">
        <v>978</v>
      </c>
      <c r="L126" s="17"/>
      <c r="M126" s="17"/>
      <c r="N126" s="11"/>
      <c r="O126" s="11"/>
    </row>
    <row r="127" ht="22.5" customHeight="1">
      <c r="A127" s="11"/>
      <c r="B127" s="12" t="s">
        <v>979</v>
      </c>
      <c r="C127" s="14" t="s">
        <v>980</v>
      </c>
      <c r="D127" s="14" t="s">
        <v>981</v>
      </c>
      <c r="E127" s="14" t="s">
        <v>982</v>
      </c>
      <c r="F127" s="14" t="s">
        <v>62</v>
      </c>
      <c r="G127" s="15" t="s">
        <v>983</v>
      </c>
      <c r="H127" s="14" t="s">
        <v>984</v>
      </c>
      <c r="I127" s="14" t="s">
        <v>37</v>
      </c>
      <c r="J127" s="14" t="s">
        <v>985</v>
      </c>
      <c r="K127" s="16" t="s">
        <v>986</v>
      </c>
      <c r="L127" s="17"/>
      <c r="M127" s="17"/>
      <c r="N127" s="11"/>
      <c r="O127" s="11"/>
    </row>
    <row r="128" ht="22.5" customHeight="1">
      <c r="A128" s="11"/>
      <c r="B128" s="12" t="s">
        <v>987</v>
      </c>
      <c r="C128" s="14" t="s">
        <v>988</v>
      </c>
      <c r="D128" s="14" t="s">
        <v>989</v>
      </c>
      <c r="E128" s="14" t="s">
        <v>990</v>
      </c>
      <c r="F128" s="14" t="s">
        <v>44</v>
      </c>
      <c r="G128" s="15" t="s">
        <v>991</v>
      </c>
      <c r="H128" s="14" t="s">
        <v>992</v>
      </c>
      <c r="I128" s="14" t="s">
        <v>37</v>
      </c>
      <c r="J128" s="14" t="s">
        <v>993</v>
      </c>
      <c r="K128" s="16" t="s">
        <v>994</v>
      </c>
      <c r="L128" s="17"/>
      <c r="M128" s="17"/>
      <c r="N128" s="11"/>
      <c r="O128" s="11"/>
    </row>
    <row r="129" ht="22.5" customHeight="1">
      <c r="A129" s="11"/>
      <c r="B129" s="12" t="s">
        <v>219</v>
      </c>
      <c r="C129" s="14" t="s">
        <v>995</v>
      </c>
      <c r="D129" s="14" t="s">
        <v>996</v>
      </c>
      <c r="E129" s="14" t="s">
        <v>997</v>
      </c>
      <c r="F129" s="14" t="s">
        <v>62</v>
      </c>
      <c r="G129" s="15" t="s">
        <v>998</v>
      </c>
      <c r="H129" s="14" t="s">
        <v>224</v>
      </c>
      <c r="I129" s="14" t="s">
        <v>37</v>
      </c>
      <c r="J129" s="14" t="s">
        <v>999</v>
      </c>
      <c r="K129" s="16" t="s">
        <v>1000</v>
      </c>
      <c r="L129" s="17"/>
      <c r="M129" s="17"/>
      <c r="N129" s="11"/>
      <c r="O129" s="11"/>
    </row>
    <row r="130" ht="22.5" customHeight="1">
      <c r="A130" s="11"/>
      <c r="B130" s="12" t="s">
        <v>1001</v>
      </c>
      <c r="C130" s="14" t="s">
        <v>1002</v>
      </c>
      <c r="D130" s="14" t="s">
        <v>1003</v>
      </c>
      <c r="E130" s="14" t="s">
        <v>1004</v>
      </c>
      <c r="F130" s="14" t="s">
        <v>44</v>
      </c>
      <c r="G130" s="15" t="s">
        <v>1005</v>
      </c>
      <c r="H130" s="14" t="s">
        <v>1006</v>
      </c>
      <c r="I130" s="14" t="s">
        <v>37</v>
      </c>
      <c r="J130" s="14" t="s">
        <v>1007</v>
      </c>
      <c r="K130" s="16" t="s">
        <v>1008</v>
      </c>
      <c r="L130" s="17"/>
      <c r="M130" s="17"/>
      <c r="N130" s="11"/>
      <c r="O130" s="11"/>
    </row>
    <row r="131" ht="22.5" customHeight="1">
      <c r="A131" s="11"/>
      <c r="B131" s="12" t="s">
        <v>1009</v>
      </c>
      <c r="C131" s="14" t="s">
        <v>1010</v>
      </c>
      <c r="D131" s="14" t="s">
        <v>1011</v>
      </c>
      <c r="E131" s="14" t="s">
        <v>1012</v>
      </c>
      <c r="F131" s="14" t="s">
        <v>34</v>
      </c>
      <c r="G131" s="15" t="s">
        <v>1013</v>
      </c>
      <c r="H131" s="14" t="s">
        <v>1014</v>
      </c>
      <c r="I131" s="14" t="s">
        <v>399</v>
      </c>
      <c r="J131" s="14" t="s">
        <v>1015</v>
      </c>
      <c r="K131" s="16" t="s">
        <v>1016</v>
      </c>
      <c r="L131" s="17"/>
      <c r="M131" s="17"/>
      <c r="N131" s="11"/>
      <c r="O131" s="11"/>
    </row>
    <row r="132" ht="22.5" customHeight="1">
      <c r="A132" s="11"/>
      <c r="B132" s="12" t="s">
        <v>1017</v>
      </c>
      <c r="C132" s="14" t="s">
        <v>1018</v>
      </c>
      <c r="D132" s="14" t="s">
        <v>1019</v>
      </c>
      <c r="E132" s="14" t="s">
        <v>1020</v>
      </c>
      <c r="F132" s="14" t="s">
        <v>34</v>
      </c>
      <c r="G132" s="15" t="s">
        <v>1021</v>
      </c>
      <c r="H132" s="14" t="s">
        <v>1022</v>
      </c>
      <c r="I132" s="14" t="s">
        <v>37</v>
      </c>
      <c r="J132" s="14" t="s">
        <v>1023</v>
      </c>
      <c r="K132" s="16" t="s">
        <v>1024</v>
      </c>
      <c r="L132" s="17"/>
      <c r="M132" s="17"/>
      <c r="N132" s="11"/>
      <c r="O132" s="11"/>
    </row>
    <row r="133" ht="22.5" customHeight="1">
      <c r="A133" s="11"/>
      <c r="B133" s="12" t="s">
        <v>1025</v>
      </c>
      <c r="C133" s="14" t="s">
        <v>1026</v>
      </c>
      <c r="D133" s="14" t="s">
        <v>1027</v>
      </c>
      <c r="E133" s="14" t="s">
        <v>1028</v>
      </c>
      <c r="F133" s="14" t="s">
        <v>34</v>
      </c>
      <c r="G133" s="15" t="s">
        <v>1029</v>
      </c>
      <c r="H133" s="14" t="s">
        <v>1030</v>
      </c>
      <c r="I133" s="14" t="s">
        <v>37</v>
      </c>
      <c r="J133" s="14" t="s">
        <v>1031</v>
      </c>
      <c r="K133" s="16" t="s">
        <v>1032</v>
      </c>
      <c r="L133" s="17"/>
      <c r="M133" s="17"/>
      <c r="N133" s="11"/>
      <c r="O133" s="11"/>
    </row>
    <row r="134" ht="22.5" customHeight="1">
      <c r="A134" s="11"/>
      <c r="B134" s="12" t="s">
        <v>1033</v>
      </c>
      <c r="C134" s="14" t="s">
        <v>1034</v>
      </c>
      <c r="D134" s="14" t="s">
        <v>1034</v>
      </c>
      <c r="E134" s="14" t="s">
        <v>1035</v>
      </c>
      <c r="F134" s="14" t="s">
        <v>44</v>
      </c>
      <c r="G134" s="15" t="s">
        <v>1036</v>
      </c>
      <c r="H134" s="14" t="s">
        <v>1037</v>
      </c>
      <c r="I134" s="14" t="s">
        <v>37</v>
      </c>
      <c r="J134" s="14" t="s">
        <v>1038</v>
      </c>
      <c r="K134" s="16" t="s">
        <v>1039</v>
      </c>
      <c r="L134" s="17"/>
      <c r="M134" s="17"/>
      <c r="N134" s="11"/>
      <c r="O134" s="11"/>
    </row>
    <row r="135" ht="22.5" customHeight="1">
      <c r="A135" s="11"/>
      <c r="B135" s="12" t="s">
        <v>1040</v>
      </c>
      <c r="C135" s="14" t="s">
        <v>1041</v>
      </c>
      <c r="D135" s="14" t="s">
        <v>1042</v>
      </c>
      <c r="E135" s="14" t="s">
        <v>1043</v>
      </c>
      <c r="F135" s="14" t="s">
        <v>44</v>
      </c>
      <c r="G135" s="15" t="s">
        <v>1044</v>
      </c>
      <c r="H135" s="14" t="s">
        <v>1045</v>
      </c>
      <c r="I135" s="14" t="s">
        <v>37</v>
      </c>
      <c r="J135" s="14" t="s">
        <v>1046</v>
      </c>
      <c r="K135" s="16" t="s">
        <v>1047</v>
      </c>
      <c r="L135" s="17"/>
      <c r="M135" s="17"/>
      <c r="N135" s="11"/>
      <c r="O135" s="11"/>
    </row>
    <row r="136" ht="22.5" customHeight="1">
      <c r="A136" s="11"/>
      <c r="B136" s="12" t="s">
        <v>1048</v>
      </c>
      <c r="C136" s="14" t="s">
        <v>1049</v>
      </c>
      <c r="D136" s="14" t="s">
        <v>1050</v>
      </c>
      <c r="E136" s="14" t="s">
        <v>1051</v>
      </c>
      <c r="F136" s="14" t="s">
        <v>62</v>
      </c>
      <c r="G136" s="15" t="s">
        <v>1052</v>
      </c>
      <c r="H136" s="14" t="s">
        <v>1053</v>
      </c>
      <c r="I136" s="14" t="s">
        <v>37</v>
      </c>
      <c r="J136" s="14" t="s">
        <v>1054</v>
      </c>
      <c r="K136" s="16" t="s">
        <v>1055</v>
      </c>
      <c r="L136" s="17"/>
      <c r="M136" s="17"/>
      <c r="N136" s="11"/>
      <c r="O136" s="11"/>
    </row>
    <row r="137" ht="22.5" customHeight="1">
      <c r="A137" s="11"/>
      <c r="B137" s="12" t="s">
        <v>1056</v>
      </c>
      <c r="C137" s="14" t="s">
        <v>1057</v>
      </c>
      <c r="D137" s="14" t="s">
        <v>1058</v>
      </c>
      <c r="E137" s="14" t="s">
        <v>1059</v>
      </c>
      <c r="F137" s="14" t="s">
        <v>23</v>
      </c>
      <c r="G137" s="15" t="s">
        <v>1060</v>
      </c>
      <c r="H137" s="14" t="s">
        <v>1061</v>
      </c>
      <c r="I137" s="14" t="s">
        <v>37</v>
      </c>
      <c r="J137" s="14" t="s">
        <v>1062</v>
      </c>
      <c r="K137" s="16" t="s">
        <v>1063</v>
      </c>
      <c r="L137" s="17"/>
      <c r="M137" s="17"/>
      <c r="N137" s="11"/>
      <c r="O137" s="11"/>
    </row>
    <row r="138" ht="22.5" customHeight="1">
      <c r="A138" s="11"/>
      <c r="B138" s="12" t="s">
        <v>1064</v>
      </c>
      <c r="C138" s="14" t="s">
        <v>1065</v>
      </c>
      <c r="D138" s="14" t="s">
        <v>1066</v>
      </c>
      <c r="E138" s="14" t="s">
        <v>1067</v>
      </c>
      <c r="F138" s="14" t="s">
        <v>34</v>
      </c>
      <c r="G138" s="15" t="s">
        <v>1068</v>
      </c>
      <c r="H138" s="14" t="s">
        <v>1069</v>
      </c>
      <c r="I138" s="14" t="s">
        <v>37</v>
      </c>
      <c r="J138" s="14" t="s">
        <v>1070</v>
      </c>
      <c r="K138" s="16" t="s">
        <v>1071</v>
      </c>
      <c r="L138" s="17"/>
      <c r="M138" s="17"/>
      <c r="N138" s="11"/>
      <c r="O138" s="11"/>
    </row>
    <row r="139" ht="22.5" customHeight="1">
      <c r="A139" s="11"/>
      <c r="B139" s="12" t="s">
        <v>1072</v>
      </c>
      <c r="C139" s="14" t="s">
        <v>1073</v>
      </c>
      <c r="D139" s="14" t="s">
        <v>1073</v>
      </c>
      <c r="E139" s="14" t="s">
        <v>1074</v>
      </c>
      <c r="F139" s="14" t="s">
        <v>23</v>
      </c>
      <c r="G139" s="15" t="s">
        <v>1075</v>
      </c>
      <c r="H139" s="14" t="s">
        <v>1076</v>
      </c>
      <c r="I139" s="14" t="s">
        <v>37</v>
      </c>
      <c r="J139" s="14" t="s">
        <v>1077</v>
      </c>
      <c r="K139" s="16" t="s">
        <v>1078</v>
      </c>
      <c r="L139" s="17"/>
      <c r="M139" s="17"/>
      <c r="N139" s="11"/>
      <c r="O139" s="11"/>
    </row>
    <row r="140" ht="22.5" customHeight="1">
      <c r="A140" s="11"/>
      <c r="B140" s="12" t="s">
        <v>1079</v>
      </c>
      <c r="C140" s="14" t="s">
        <v>1080</v>
      </c>
      <c r="D140" s="14" t="s">
        <v>1081</v>
      </c>
      <c r="E140" s="14" t="s">
        <v>1082</v>
      </c>
      <c r="F140" s="14" t="s">
        <v>44</v>
      </c>
      <c r="G140" s="15" t="s">
        <v>1083</v>
      </c>
      <c r="H140" s="14" t="s">
        <v>1084</v>
      </c>
      <c r="I140" s="14" t="s">
        <v>26</v>
      </c>
      <c r="J140" s="14" t="s">
        <v>1085</v>
      </c>
      <c r="K140" s="16" t="s">
        <v>1086</v>
      </c>
      <c r="L140" s="17"/>
      <c r="M140" s="17"/>
      <c r="N140" s="11"/>
      <c r="O140" s="11"/>
    </row>
    <row r="141" ht="22.5" customHeight="1">
      <c r="A141" s="11"/>
      <c r="B141" s="12" t="s">
        <v>1087</v>
      </c>
      <c r="C141" s="14" t="s">
        <v>1088</v>
      </c>
      <c r="D141" s="14" t="s">
        <v>1089</v>
      </c>
      <c r="E141" s="14" t="s">
        <v>1090</v>
      </c>
      <c r="F141" s="14" t="s">
        <v>34</v>
      </c>
      <c r="G141" s="15" t="s">
        <v>1091</v>
      </c>
      <c r="H141" s="14" t="s">
        <v>1092</v>
      </c>
      <c r="I141" s="14" t="s">
        <v>37</v>
      </c>
      <c r="J141" s="14" t="s">
        <v>1093</v>
      </c>
      <c r="K141" s="16" t="s">
        <v>1094</v>
      </c>
      <c r="L141" s="17"/>
      <c r="M141" s="17"/>
      <c r="N141" s="11"/>
      <c r="O141" s="11"/>
    </row>
    <row r="142" ht="22.5" customHeight="1">
      <c r="A142" s="11"/>
      <c r="B142" s="12" t="s">
        <v>1095</v>
      </c>
      <c r="C142" s="14" t="s">
        <v>1096</v>
      </c>
      <c r="D142" s="14" t="s">
        <v>1097</v>
      </c>
      <c r="E142" s="14" t="s">
        <v>1098</v>
      </c>
      <c r="F142" s="14" t="s">
        <v>23</v>
      </c>
      <c r="G142" s="15" t="s">
        <v>1099</v>
      </c>
      <c r="H142" s="14" t="s">
        <v>1100</v>
      </c>
      <c r="I142" s="14" t="s">
        <v>37</v>
      </c>
      <c r="J142" s="14" t="s">
        <v>1101</v>
      </c>
      <c r="K142" s="16" t="s">
        <v>1102</v>
      </c>
      <c r="L142" s="17"/>
      <c r="M142" s="17"/>
      <c r="N142" s="11"/>
      <c r="O142" s="11"/>
    </row>
    <row r="143" ht="22.5" customHeight="1">
      <c r="A143" s="11"/>
      <c r="B143" s="12" t="s">
        <v>1103</v>
      </c>
      <c r="C143" s="14" t="s">
        <v>1104</v>
      </c>
      <c r="D143" s="14" t="s">
        <v>1105</v>
      </c>
      <c r="E143" s="14" t="s">
        <v>1106</v>
      </c>
      <c r="F143" s="14" t="s">
        <v>62</v>
      </c>
      <c r="G143" s="15" t="s">
        <v>1107</v>
      </c>
      <c r="H143" s="14" t="s">
        <v>1108</v>
      </c>
      <c r="I143" s="14" t="s">
        <v>399</v>
      </c>
      <c r="J143" s="14" t="s">
        <v>1109</v>
      </c>
      <c r="K143" s="16" t="s">
        <v>1110</v>
      </c>
      <c r="L143" s="17"/>
      <c r="M143" s="17"/>
      <c r="N143" s="11"/>
      <c r="O143" s="11"/>
    </row>
    <row r="144" ht="22.5" customHeight="1">
      <c r="A144" s="11"/>
      <c r="B144" s="12" t="s">
        <v>1111</v>
      </c>
      <c r="C144" s="14" t="s">
        <v>1112</v>
      </c>
      <c r="D144" s="14" t="s">
        <v>1113</v>
      </c>
      <c r="E144" s="14" t="s">
        <v>1114</v>
      </c>
      <c r="F144" s="14" t="s">
        <v>137</v>
      </c>
      <c r="G144" s="15" t="s">
        <v>1115</v>
      </c>
      <c r="H144" s="14" t="s">
        <v>1116</v>
      </c>
      <c r="I144" s="14" t="s">
        <v>399</v>
      </c>
      <c r="J144" s="14" t="s">
        <v>1117</v>
      </c>
      <c r="K144" s="16" t="s">
        <v>1118</v>
      </c>
      <c r="L144" s="17"/>
      <c r="M144" s="17"/>
      <c r="N144" s="11"/>
      <c r="O144" s="11"/>
    </row>
    <row r="145" ht="22.5" customHeight="1">
      <c r="A145" s="11"/>
      <c r="B145" s="12" t="s">
        <v>1119</v>
      </c>
      <c r="C145" s="14" t="s">
        <v>1120</v>
      </c>
      <c r="D145" s="14" t="s">
        <v>1121</v>
      </c>
      <c r="E145" s="14" t="s">
        <v>1122</v>
      </c>
      <c r="F145" s="14" t="s">
        <v>1123</v>
      </c>
      <c r="G145" s="15" t="s">
        <v>1124</v>
      </c>
      <c r="H145" s="14" t="s">
        <v>1125</v>
      </c>
      <c r="I145" s="14" t="s">
        <v>37</v>
      </c>
      <c r="J145" s="14" t="s">
        <v>1126</v>
      </c>
      <c r="K145" s="16" t="s">
        <v>1127</v>
      </c>
      <c r="L145" s="17"/>
      <c r="M145" s="17"/>
      <c r="N145" s="11"/>
      <c r="O145" s="11"/>
    </row>
    <row r="146" ht="22.5" customHeight="1">
      <c r="A146" s="11"/>
      <c r="B146" s="12" t="s">
        <v>1128</v>
      </c>
      <c r="C146" s="14" t="s">
        <v>1129</v>
      </c>
      <c r="D146" s="14" t="s">
        <v>1130</v>
      </c>
      <c r="E146" s="14" t="s">
        <v>1131</v>
      </c>
      <c r="F146" s="14" t="s">
        <v>44</v>
      </c>
      <c r="G146" s="15" t="s">
        <v>1132</v>
      </c>
      <c r="H146" s="14" t="s">
        <v>1133</v>
      </c>
      <c r="I146" s="14" t="s">
        <v>37</v>
      </c>
      <c r="J146" s="14" t="s">
        <v>1134</v>
      </c>
      <c r="K146" s="16" t="s">
        <v>1135</v>
      </c>
      <c r="L146" s="17"/>
      <c r="M146" s="17"/>
      <c r="N146" s="11"/>
      <c r="O146" s="11"/>
    </row>
    <row r="147" ht="22.5" customHeight="1">
      <c r="A147" s="11"/>
      <c r="B147" s="12" t="s">
        <v>1136</v>
      </c>
      <c r="C147" s="14" t="s">
        <v>1137</v>
      </c>
      <c r="D147" s="14" t="s">
        <v>1138</v>
      </c>
      <c r="E147" s="14" t="s">
        <v>1139</v>
      </c>
      <c r="F147" s="14" t="s">
        <v>44</v>
      </c>
      <c r="G147" s="15" t="s">
        <v>1140</v>
      </c>
      <c r="H147" s="14" t="s">
        <v>1141</v>
      </c>
      <c r="I147" s="14" t="s">
        <v>399</v>
      </c>
      <c r="J147" s="14" t="s">
        <v>1142</v>
      </c>
      <c r="K147" s="16" t="s">
        <v>1143</v>
      </c>
      <c r="L147" s="17"/>
      <c r="M147" s="17"/>
      <c r="N147" s="11"/>
      <c r="O147" s="11"/>
    </row>
    <row r="148" ht="22.5" customHeight="1">
      <c r="A148" s="11"/>
      <c r="B148" s="12" t="s">
        <v>1144</v>
      </c>
      <c r="C148" s="14" t="s">
        <v>1145</v>
      </c>
      <c r="D148" s="14" t="s">
        <v>1146</v>
      </c>
      <c r="E148" s="14" t="s">
        <v>1147</v>
      </c>
      <c r="F148" s="14" t="s">
        <v>34</v>
      </c>
      <c r="G148" s="15" t="s">
        <v>1148</v>
      </c>
      <c r="H148" s="14" t="s">
        <v>1149</v>
      </c>
      <c r="I148" s="14" t="s">
        <v>37</v>
      </c>
      <c r="J148" s="14" t="s">
        <v>1150</v>
      </c>
      <c r="K148" s="16" t="s">
        <v>1151</v>
      </c>
      <c r="L148" s="17"/>
      <c r="M148" s="17"/>
      <c r="N148" s="11"/>
      <c r="O148" s="11"/>
    </row>
    <row r="149" ht="22.5" customHeight="1">
      <c r="A149" s="11"/>
      <c r="B149" s="12" t="s">
        <v>1152</v>
      </c>
      <c r="C149" s="14" t="s">
        <v>1153</v>
      </c>
      <c r="D149" s="14" t="s">
        <v>1154</v>
      </c>
      <c r="E149" s="14" t="s">
        <v>1155</v>
      </c>
      <c r="F149" s="14" t="s">
        <v>1156</v>
      </c>
      <c r="G149" s="15" t="s">
        <v>1157</v>
      </c>
      <c r="H149" s="14" t="s">
        <v>1158</v>
      </c>
      <c r="I149" s="14" t="s">
        <v>399</v>
      </c>
      <c r="J149" s="14" t="s">
        <v>1159</v>
      </c>
      <c r="K149" s="16" t="s">
        <v>1160</v>
      </c>
      <c r="L149" s="17"/>
      <c r="M149" s="17"/>
      <c r="N149" s="11"/>
      <c r="O149" s="11"/>
    </row>
    <row r="150" ht="22.5" customHeight="1">
      <c r="A150" s="11"/>
      <c r="B150" s="12" t="s">
        <v>1161</v>
      </c>
      <c r="C150" s="14" t="s">
        <v>1162</v>
      </c>
      <c r="D150" s="14" t="s">
        <v>1163</v>
      </c>
      <c r="E150" s="14" t="s">
        <v>1164</v>
      </c>
      <c r="F150" s="14" t="s">
        <v>53</v>
      </c>
      <c r="G150" s="15" t="s">
        <v>1165</v>
      </c>
      <c r="H150" s="14" t="s">
        <v>1166</v>
      </c>
      <c r="I150" s="14" t="s">
        <v>37</v>
      </c>
      <c r="J150" s="14" t="s">
        <v>1167</v>
      </c>
      <c r="K150" s="16" t="s">
        <v>1168</v>
      </c>
      <c r="L150" s="17"/>
      <c r="M150" s="17"/>
      <c r="N150" s="11"/>
      <c r="O150" s="11"/>
    </row>
    <row r="151" ht="22.5" customHeight="1">
      <c r="A151" s="11"/>
      <c r="B151" s="12" t="s">
        <v>1169</v>
      </c>
      <c r="C151" s="14" t="s">
        <v>1170</v>
      </c>
      <c r="D151" s="14" t="s">
        <v>1171</v>
      </c>
      <c r="E151" s="14" t="s">
        <v>1172</v>
      </c>
      <c r="F151" s="14" t="s">
        <v>34</v>
      </c>
      <c r="G151" s="15" t="s">
        <v>1173</v>
      </c>
      <c r="H151" s="14" t="s">
        <v>1174</v>
      </c>
      <c r="I151" s="14" t="s">
        <v>37</v>
      </c>
      <c r="J151" s="14" t="s">
        <v>1175</v>
      </c>
      <c r="K151" s="16" t="s">
        <v>1176</v>
      </c>
      <c r="L151" s="17"/>
      <c r="M151" s="17"/>
      <c r="N151" s="11"/>
      <c r="O151" s="11"/>
    </row>
    <row r="152" ht="22.5" customHeight="1">
      <c r="A152" s="11"/>
      <c r="B152" s="12" t="s">
        <v>1177</v>
      </c>
      <c r="C152" s="14" t="s">
        <v>1178</v>
      </c>
      <c r="D152" s="14" t="s">
        <v>1179</v>
      </c>
      <c r="E152" s="14" t="s">
        <v>1180</v>
      </c>
      <c r="F152" s="14" t="s">
        <v>62</v>
      </c>
      <c r="G152" s="15" t="s">
        <v>1181</v>
      </c>
      <c r="H152" s="14" t="s">
        <v>1182</v>
      </c>
      <c r="I152" s="14" t="s">
        <v>26</v>
      </c>
      <c r="J152" s="14" t="s">
        <v>1183</v>
      </c>
      <c r="K152" s="16" t="s">
        <v>1184</v>
      </c>
      <c r="L152" s="17"/>
      <c r="M152" s="17"/>
      <c r="N152" s="11"/>
      <c r="O152" s="11"/>
    </row>
    <row r="153" ht="22.5" customHeight="1">
      <c r="A153" s="11"/>
      <c r="B153" s="12" t="s">
        <v>1185</v>
      </c>
      <c r="C153" s="14" t="s">
        <v>1186</v>
      </c>
      <c r="D153" s="14" t="s">
        <v>1187</v>
      </c>
      <c r="E153" s="14" t="s">
        <v>1188</v>
      </c>
      <c r="F153" s="14" t="s">
        <v>34</v>
      </c>
      <c r="G153" s="15" t="s">
        <v>1189</v>
      </c>
      <c r="H153" s="14" t="s">
        <v>1190</v>
      </c>
      <c r="I153" s="14" t="s">
        <v>399</v>
      </c>
      <c r="J153" s="14" t="s">
        <v>1191</v>
      </c>
      <c r="K153" s="16" t="s">
        <v>1192</v>
      </c>
      <c r="L153" s="17"/>
      <c r="M153" s="17"/>
      <c r="N153" s="11"/>
      <c r="O153" s="11"/>
    </row>
    <row r="154" ht="22.5" customHeight="1">
      <c r="A154" s="11"/>
      <c r="B154" s="12" t="s">
        <v>1193</v>
      </c>
      <c r="C154" s="14" t="s">
        <v>1194</v>
      </c>
      <c r="D154" s="14" t="s">
        <v>1195</v>
      </c>
      <c r="E154" s="14" t="s">
        <v>1196</v>
      </c>
      <c r="F154" s="14" t="s">
        <v>44</v>
      </c>
      <c r="G154" s="15" t="s">
        <v>1197</v>
      </c>
      <c r="H154" s="14" t="s">
        <v>1198</v>
      </c>
      <c r="I154" s="14" t="s">
        <v>37</v>
      </c>
      <c r="J154" s="14" t="s">
        <v>1199</v>
      </c>
      <c r="K154" s="16" t="s">
        <v>1200</v>
      </c>
      <c r="L154" s="17"/>
      <c r="M154" s="17"/>
      <c r="N154" s="11"/>
      <c r="O154" s="11"/>
    </row>
    <row r="155" ht="22.5" customHeight="1">
      <c r="A155" s="11"/>
      <c r="B155" s="12" t="s">
        <v>1201</v>
      </c>
      <c r="C155" s="14" t="s">
        <v>1202</v>
      </c>
      <c r="D155" s="14" t="s">
        <v>1203</v>
      </c>
      <c r="E155" s="14" t="s">
        <v>1204</v>
      </c>
      <c r="F155" s="14" t="s">
        <v>62</v>
      </c>
      <c r="G155" s="15" t="s">
        <v>1205</v>
      </c>
      <c r="H155" s="14" t="s">
        <v>1206</v>
      </c>
      <c r="I155" s="14" t="s">
        <v>37</v>
      </c>
      <c r="J155" s="14" t="s">
        <v>1207</v>
      </c>
      <c r="K155" s="16" t="s">
        <v>1208</v>
      </c>
      <c r="L155" s="17"/>
      <c r="M155" s="17"/>
      <c r="N155" s="11"/>
      <c r="O155" s="11"/>
    </row>
    <row r="156" ht="22.5" customHeight="1">
      <c r="A156" s="11"/>
      <c r="B156" s="12" t="s">
        <v>1209</v>
      </c>
      <c r="C156" s="14" t="s">
        <v>1210</v>
      </c>
      <c r="D156" s="14" t="s">
        <v>1211</v>
      </c>
      <c r="E156" s="14" t="s">
        <v>1212</v>
      </c>
      <c r="F156" s="14" t="s">
        <v>44</v>
      </c>
      <c r="G156" s="15" t="s">
        <v>1213</v>
      </c>
      <c r="H156" s="14" t="s">
        <v>1214</v>
      </c>
      <c r="I156" s="14" t="s">
        <v>399</v>
      </c>
      <c r="J156" s="14" t="s">
        <v>1215</v>
      </c>
      <c r="K156" s="16" t="s">
        <v>1216</v>
      </c>
      <c r="L156" s="17"/>
      <c r="M156" s="17"/>
      <c r="N156" s="11"/>
      <c r="O156" s="11"/>
    </row>
    <row r="157" ht="22.5" customHeight="1">
      <c r="A157" s="11"/>
      <c r="B157" s="12" t="s">
        <v>1217</v>
      </c>
      <c r="C157" s="14" t="s">
        <v>1218</v>
      </c>
      <c r="D157" s="14" t="s">
        <v>1219</v>
      </c>
      <c r="E157" s="14" t="s">
        <v>1220</v>
      </c>
      <c r="F157" s="14" t="s">
        <v>44</v>
      </c>
      <c r="G157" s="15" t="s">
        <v>1221</v>
      </c>
      <c r="H157" s="14" t="s">
        <v>1222</v>
      </c>
      <c r="I157" s="14" t="s">
        <v>37</v>
      </c>
      <c r="J157" s="14" t="s">
        <v>1223</v>
      </c>
      <c r="K157" s="16" t="s">
        <v>1224</v>
      </c>
      <c r="L157" s="17"/>
      <c r="M157" s="17"/>
      <c r="N157" s="11"/>
      <c r="O157" s="11"/>
    </row>
    <row r="158" ht="22.5" customHeight="1">
      <c r="A158" s="11"/>
      <c r="B158" s="12" t="s">
        <v>1225</v>
      </c>
      <c r="C158" s="14" t="s">
        <v>1226</v>
      </c>
      <c r="D158" s="14" t="s">
        <v>1227</v>
      </c>
      <c r="E158" s="14" t="s">
        <v>1228</v>
      </c>
      <c r="F158" s="14" t="s">
        <v>34</v>
      </c>
      <c r="G158" s="15" t="s">
        <v>1229</v>
      </c>
      <c r="H158" s="14" t="s">
        <v>1230</v>
      </c>
      <c r="I158" s="14" t="s">
        <v>37</v>
      </c>
      <c r="J158" s="14" t="s">
        <v>1231</v>
      </c>
      <c r="K158" s="16" t="s">
        <v>1232</v>
      </c>
      <c r="L158" s="17"/>
      <c r="M158" s="17"/>
      <c r="N158" s="11"/>
      <c r="O158" s="11"/>
    </row>
    <row r="159" ht="22.5" customHeight="1">
      <c r="A159" s="11"/>
      <c r="B159" s="12" t="s">
        <v>1233</v>
      </c>
      <c r="C159" s="14" t="s">
        <v>1234</v>
      </c>
      <c r="D159" s="14" t="s">
        <v>1235</v>
      </c>
      <c r="E159" s="14" t="s">
        <v>1236</v>
      </c>
      <c r="F159" s="14" t="s">
        <v>44</v>
      </c>
      <c r="G159" s="15" t="s">
        <v>1237</v>
      </c>
      <c r="H159" s="14" t="s">
        <v>1238</v>
      </c>
      <c r="I159" s="14" t="s">
        <v>26</v>
      </c>
      <c r="J159" s="14" t="s">
        <v>1239</v>
      </c>
      <c r="K159" s="16" t="s">
        <v>1240</v>
      </c>
      <c r="L159" s="17"/>
      <c r="M159" s="17"/>
      <c r="N159" s="11"/>
      <c r="O159" s="11"/>
    </row>
    <row r="160" ht="22.5" customHeight="1">
      <c r="A160" s="11"/>
      <c r="B160" s="12" t="s">
        <v>1241</v>
      </c>
      <c r="C160" s="14" t="s">
        <v>1242</v>
      </c>
      <c r="D160" s="14" t="s">
        <v>1243</v>
      </c>
      <c r="E160" s="14" t="s">
        <v>1244</v>
      </c>
      <c r="F160" s="14" t="s">
        <v>34</v>
      </c>
      <c r="G160" s="15" t="s">
        <v>1245</v>
      </c>
      <c r="H160" s="14" t="s">
        <v>1246</v>
      </c>
      <c r="I160" s="14" t="s">
        <v>37</v>
      </c>
      <c r="J160" s="14" t="s">
        <v>1247</v>
      </c>
      <c r="K160" s="16" t="s">
        <v>1248</v>
      </c>
      <c r="L160" s="17"/>
      <c r="M160" s="17"/>
      <c r="N160" s="11"/>
      <c r="O160" s="11"/>
    </row>
    <row r="161" ht="22.5" customHeight="1">
      <c r="A161" s="11"/>
      <c r="B161" s="12" t="s">
        <v>1249</v>
      </c>
      <c r="C161" s="14" t="s">
        <v>1250</v>
      </c>
      <c r="D161" s="14" t="s">
        <v>1251</v>
      </c>
      <c r="E161" s="14" t="s">
        <v>1252</v>
      </c>
      <c r="F161" s="14" t="s">
        <v>238</v>
      </c>
      <c r="G161" s="15" t="s">
        <v>1253</v>
      </c>
      <c r="H161" s="14" t="s">
        <v>1254</v>
      </c>
      <c r="I161" s="14" t="s">
        <v>37</v>
      </c>
      <c r="J161" s="14" t="s">
        <v>1255</v>
      </c>
      <c r="K161" s="16" t="s">
        <v>1256</v>
      </c>
      <c r="L161" s="17"/>
      <c r="M161" s="17"/>
      <c r="N161" s="11"/>
      <c r="O161" s="11"/>
    </row>
    <row r="162" ht="22.5" customHeight="1">
      <c r="A162" s="11"/>
      <c r="B162" s="12" t="s">
        <v>1257</v>
      </c>
      <c r="C162" s="14" t="s">
        <v>1258</v>
      </c>
      <c r="D162" s="14" t="s">
        <v>1042</v>
      </c>
      <c r="E162" s="14" t="s">
        <v>1259</v>
      </c>
      <c r="F162" s="14" t="s">
        <v>34</v>
      </c>
      <c r="G162" s="15" t="s">
        <v>1260</v>
      </c>
      <c r="H162" s="14" t="s">
        <v>1261</v>
      </c>
      <c r="I162" s="14" t="s">
        <v>37</v>
      </c>
      <c r="J162" s="14" t="s">
        <v>1262</v>
      </c>
      <c r="K162" s="16" t="s">
        <v>1263</v>
      </c>
      <c r="L162" s="17"/>
      <c r="M162" s="17"/>
      <c r="N162" s="11"/>
      <c r="O162" s="11"/>
    </row>
    <row r="163" ht="22.5" customHeight="1">
      <c r="A163" s="11"/>
      <c r="B163" s="12" t="s">
        <v>1264</v>
      </c>
      <c r="C163" s="14" t="s">
        <v>1265</v>
      </c>
      <c r="D163" s="14" t="s">
        <v>1266</v>
      </c>
      <c r="E163" s="14" t="s">
        <v>1267</v>
      </c>
      <c r="F163" s="14" t="s">
        <v>34</v>
      </c>
      <c r="G163" s="15" t="s">
        <v>1268</v>
      </c>
      <c r="H163" s="14" t="s">
        <v>1269</v>
      </c>
      <c r="I163" s="14" t="s">
        <v>37</v>
      </c>
      <c r="J163" s="14" t="s">
        <v>1265</v>
      </c>
      <c r="K163" s="16" t="s">
        <v>1270</v>
      </c>
      <c r="L163" s="17"/>
      <c r="M163" s="17"/>
      <c r="N163" s="11"/>
      <c r="O163" s="11"/>
    </row>
    <row r="164" ht="22.5" customHeight="1">
      <c r="A164" s="11"/>
      <c r="B164" s="12" t="s">
        <v>1271</v>
      </c>
      <c r="C164" s="14" t="s">
        <v>1272</v>
      </c>
      <c r="D164" s="14" t="s">
        <v>1042</v>
      </c>
      <c r="E164" s="14" t="s">
        <v>1273</v>
      </c>
      <c r="F164" s="14" t="s">
        <v>1274</v>
      </c>
      <c r="G164" s="15" t="s">
        <v>1275</v>
      </c>
      <c r="H164" s="14" t="s">
        <v>1276</v>
      </c>
      <c r="I164" s="14" t="s">
        <v>399</v>
      </c>
      <c r="J164" s="14" t="s">
        <v>1272</v>
      </c>
      <c r="K164" s="16" t="s">
        <v>1277</v>
      </c>
      <c r="L164" s="17"/>
      <c r="M164" s="17"/>
      <c r="N164" s="11"/>
      <c r="O164" s="11"/>
    </row>
    <row r="165" ht="22.5" customHeight="1">
      <c r="A165" s="11"/>
      <c r="B165" s="12" t="s">
        <v>1278</v>
      </c>
      <c r="C165" s="14" t="s">
        <v>1279</v>
      </c>
      <c r="D165" s="14" t="s">
        <v>1280</v>
      </c>
      <c r="E165" s="14" t="s">
        <v>1281</v>
      </c>
      <c r="F165" s="14" t="s">
        <v>34</v>
      </c>
      <c r="G165" s="15" t="s">
        <v>1282</v>
      </c>
      <c r="H165" s="14" t="s">
        <v>1283</v>
      </c>
      <c r="I165" s="14" t="s">
        <v>399</v>
      </c>
      <c r="J165" s="14" t="s">
        <v>1279</v>
      </c>
      <c r="K165" s="16" t="s">
        <v>1284</v>
      </c>
      <c r="L165" s="17"/>
      <c r="M165" s="17"/>
      <c r="N165" s="11"/>
      <c r="O165" s="11"/>
    </row>
    <row r="166" ht="22.5" customHeight="1">
      <c r="A166" s="11"/>
      <c r="B166" s="18" t="s">
        <v>1285</v>
      </c>
      <c r="C166" s="13" t="s">
        <v>1286</v>
      </c>
      <c r="D166" s="14" t="s">
        <v>1287</v>
      </c>
      <c r="E166" s="14" t="s">
        <v>1288</v>
      </c>
      <c r="F166" s="14" t="s">
        <v>115</v>
      </c>
      <c r="G166" s="15" t="s">
        <v>1289</v>
      </c>
      <c r="H166" s="14" t="s">
        <v>1290</v>
      </c>
      <c r="I166" s="14" t="s">
        <v>399</v>
      </c>
      <c r="J166" s="14" t="s">
        <v>1286</v>
      </c>
      <c r="K166" s="16" t="s">
        <v>1291</v>
      </c>
      <c r="L166" s="17"/>
      <c r="M166" s="17"/>
      <c r="N166" s="11"/>
      <c r="O166" s="11"/>
    </row>
    <row r="167" ht="22.5" customHeight="1">
      <c r="A167" s="11"/>
      <c r="B167" s="12" t="s">
        <v>1292</v>
      </c>
      <c r="C167" s="14" t="s">
        <v>1293</v>
      </c>
      <c r="D167" s="14" t="s">
        <v>1294</v>
      </c>
      <c r="E167" s="14" t="s">
        <v>1295</v>
      </c>
      <c r="F167" s="14" t="s">
        <v>62</v>
      </c>
      <c r="G167" s="15" t="s">
        <v>1296</v>
      </c>
      <c r="H167" s="14" t="s">
        <v>1297</v>
      </c>
      <c r="I167" s="14" t="s">
        <v>26</v>
      </c>
      <c r="J167" s="14" t="s">
        <v>1293</v>
      </c>
      <c r="K167" s="16" t="s">
        <v>1298</v>
      </c>
      <c r="L167" s="17"/>
      <c r="M167" s="17"/>
      <c r="N167" s="11"/>
      <c r="O167" s="11"/>
    </row>
    <row r="168" ht="22.5" customHeight="1">
      <c r="A168" s="11"/>
      <c r="B168" s="12" t="s">
        <v>1299</v>
      </c>
      <c r="C168" s="14" t="s">
        <v>1300</v>
      </c>
      <c r="D168" s="14" t="s">
        <v>1301</v>
      </c>
      <c r="E168" s="14" t="s">
        <v>1302</v>
      </c>
      <c r="F168" s="14" t="s">
        <v>966</v>
      </c>
      <c r="G168" s="15" t="s">
        <v>1303</v>
      </c>
      <c r="H168" s="14" t="s">
        <v>1304</v>
      </c>
      <c r="I168" s="14" t="s">
        <v>399</v>
      </c>
      <c r="J168" s="14" t="s">
        <v>1305</v>
      </c>
      <c r="K168" s="16" t="s">
        <v>1306</v>
      </c>
      <c r="L168" s="17"/>
      <c r="M168" s="17"/>
      <c r="N168" s="11"/>
      <c r="O168" s="11"/>
    </row>
    <row r="169" ht="22.5" customHeight="1">
      <c r="A169" s="11"/>
      <c r="B169" s="12" t="s">
        <v>1307</v>
      </c>
      <c r="C169" s="14" t="s">
        <v>1308</v>
      </c>
      <c r="D169" s="14" t="s">
        <v>1309</v>
      </c>
      <c r="E169" s="14" t="s">
        <v>1310</v>
      </c>
      <c r="F169" s="14" t="s">
        <v>44</v>
      </c>
      <c r="G169" s="15" t="s">
        <v>1311</v>
      </c>
      <c r="H169" s="14" t="s">
        <v>1312</v>
      </c>
      <c r="I169" s="14" t="s">
        <v>399</v>
      </c>
      <c r="J169" s="14" t="s">
        <v>1308</v>
      </c>
      <c r="K169" s="16" t="s">
        <v>1313</v>
      </c>
      <c r="L169" s="17"/>
      <c r="M169" s="17"/>
      <c r="N169" s="11"/>
      <c r="O169" s="11"/>
    </row>
    <row r="170" ht="22.5" customHeight="1">
      <c r="A170" s="11"/>
      <c r="B170" s="12" t="s">
        <v>1314</v>
      </c>
      <c r="C170" s="14" t="s">
        <v>1315</v>
      </c>
      <c r="D170" s="14" t="s">
        <v>1316</v>
      </c>
      <c r="E170" s="14" t="s">
        <v>1317</v>
      </c>
      <c r="F170" s="14" t="s">
        <v>238</v>
      </c>
      <c r="G170" s="15" t="s">
        <v>1318</v>
      </c>
      <c r="H170" s="14" t="s">
        <v>1319</v>
      </c>
      <c r="I170" s="14" t="s">
        <v>399</v>
      </c>
      <c r="J170" s="14" t="s">
        <v>1320</v>
      </c>
      <c r="K170" s="16" t="s">
        <v>1321</v>
      </c>
      <c r="L170" s="17"/>
      <c r="M170" s="17"/>
      <c r="N170" s="11"/>
      <c r="O170" s="11"/>
    </row>
    <row r="171" ht="22.5" customHeight="1">
      <c r="A171" s="11"/>
      <c r="B171" s="12" t="s">
        <v>1322</v>
      </c>
      <c r="C171" s="14" t="s">
        <v>1323</v>
      </c>
      <c r="D171" s="14" t="s">
        <v>1324</v>
      </c>
      <c r="E171" s="14" t="s">
        <v>1325</v>
      </c>
      <c r="F171" s="14" t="s">
        <v>34</v>
      </c>
      <c r="G171" s="15" t="s">
        <v>1326</v>
      </c>
      <c r="H171" s="14" t="s">
        <v>1327</v>
      </c>
      <c r="I171" s="14" t="s">
        <v>37</v>
      </c>
      <c r="J171" s="14" t="s">
        <v>1328</v>
      </c>
      <c r="K171" s="16" t="s">
        <v>1329</v>
      </c>
      <c r="L171" s="17"/>
      <c r="M171" s="14" t="s">
        <v>1330</v>
      </c>
      <c r="N171" s="11"/>
      <c r="O171" s="11"/>
    </row>
    <row r="172" ht="22.5" customHeight="1">
      <c r="A172" s="11"/>
      <c r="B172" s="12" t="s">
        <v>1331</v>
      </c>
      <c r="C172" s="14" t="s">
        <v>1332</v>
      </c>
      <c r="D172" s="14" t="s">
        <v>1332</v>
      </c>
      <c r="E172" s="14" t="s">
        <v>1333</v>
      </c>
      <c r="F172" s="14" t="s">
        <v>44</v>
      </c>
      <c r="G172" s="15" t="s">
        <v>1334</v>
      </c>
      <c r="H172" s="14" t="s">
        <v>1335</v>
      </c>
      <c r="I172" s="14" t="s">
        <v>399</v>
      </c>
      <c r="J172" s="14" t="s">
        <v>1336</v>
      </c>
      <c r="K172" s="16" t="s">
        <v>1337</v>
      </c>
      <c r="L172" s="17"/>
      <c r="M172" s="17"/>
      <c r="N172" s="11"/>
      <c r="O172" s="11"/>
    </row>
    <row r="173" ht="22.5" customHeight="1">
      <c r="A173" s="11"/>
      <c r="B173" s="12" t="s">
        <v>1338</v>
      </c>
      <c r="C173" s="14" t="s">
        <v>1339</v>
      </c>
      <c r="D173" s="14" t="s">
        <v>1340</v>
      </c>
      <c r="E173" s="14" t="s">
        <v>1341</v>
      </c>
      <c r="F173" s="14" t="s">
        <v>34</v>
      </c>
      <c r="G173" s="15" t="s">
        <v>1342</v>
      </c>
      <c r="H173" s="14" t="s">
        <v>1343</v>
      </c>
      <c r="I173" s="14" t="s">
        <v>37</v>
      </c>
      <c r="J173" s="14" t="s">
        <v>1340</v>
      </c>
      <c r="K173" s="16" t="s">
        <v>1344</v>
      </c>
      <c r="L173" s="17"/>
      <c r="M173" s="17"/>
      <c r="N173" s="11"/>
      <c r="O173" s="11"/>
    </row>
    <row r="174" ht="22.5" customHeight="1">
      <c r="A174" s="11"/>
      <c r="B174" s="12" t="s">
        <v>1345</v>
      </c>
      <c r="C174" s="14" t="s">
        <v>1346</v>
      </c>
      <c r="D174" s="14" t="s">
        <v>1347</v>
      </c>
      <c r="E174" s="14" t="s">
        <v>1348</v>
      </c>
      <c r="F174" s="14" t="s">
        <v>115</v>
      </c>
      <c r="G174" s="15" t="s">
        <v>1349</v>
      </c>
      <c r="H174" s="14" t="s">
        <v>1350</v>
      </c>
      <c r="I174" s="14" t="s">
        <v>26</v>
      </c>
      <c r="J174" s="14" t="s">
        <v>1351</v>
      </c>
      <c r="K174" s="16" t="s">
        <v>1352</v>
      </c>
      <c r="L174" s="17"/>
      <c r="M174" s="17"/>
      <c r="N174" s="11"/>
      <c r="O174" s="11"/>
    </row>
    <row r="175" ht="22.5" customHeight="1">
      <c r="A175" s="11"/>
      <c r="B175" s="12" t="s">
        <v>1345</v>
      </c>
      <c r="C175" s="14" t="s">
        <v>1346</v>
      </c>
      <c r="D175" s="14" t="s">
        <v>1347</v>
      </c>
      <c r="E175" s="14" t="s">
        <v>1353</v>
      </c>
      <c r="F175" s="14" t="s">
        <v>62</v>
      </c>
      <c r="G175" s="15" t="s">
        <v>1349</v>
      </c>
      <c r="H175" s="14" t="s">
        <v>1350</v>
      </c>
      <c r="I175" s="14" t="s">
        <v>26</v>
      </c>
      <c r="J175" s="14" t="s">
        <v>1351</v>
      </c>
      <c r="K175" s="16" t="s">
        <v>1352</v>
      </c>
      <c r="L175" s="17"/>
      <c r="M175" s="17"/>
      <c r="N175" s="11"/>
      <c r="O175" s="11"/>
    </row>
    <row r="176" ht="22.5" customHeight="1">
      <c r="A176" s="11"/>
      <c r="B176" s="12" t="s">
        <v>1345</v>
      </c>
      <c r="C176" s="14" t="s">
        <v>1346</v>
      </c>
      <c r="D176" s="14" t="s">
        <v>1347</v>
      </c>
      <c r="E176" s="14" t="s">
        <v>1354</v>
      </c>
      <c r="F176" s="14" t="s">
        <v>34</v>
      </c>
      <c r="G176" s="15" t="s">
        <v>1349</v>
      </c>
      <c r="H176" s="14" t="s">
        <v>1350</v>
      </c>
      <c r="I176" s="14" t="s">
        <v>26</v>
      </c>
      <c r="J176" s="14" t="s">
        <v>1351</v>
      </c>
      <c r="K176" s="16" t="s">
        <v>1352</v>
      </c>
      <c r="L176" s="17"/>
      <c r="M176" s="17"/>
      <c r="N176" s="11"/>
      <c r="O176" s="11"/>
    </row>
    <row r="177" ht="22.5" customHeight="1">
      <c r="A177" s="11"/>
      <c r="B177" s="12" t="s">
        <v>1355</v>
      </c>
      <c r="C177" s="14" t="s">
        <v>1356</v>
      </c>
      <c r="D177" s="14" t="s">
        <v>1357</v>
      </c>
      <c r="E177" s="14" t="s">
        <v>1358</v>
      </c>
      <c r="F177" s="14" t="s">
        <v>62</v>
      </c>
      <c r="G177" s="15" t="s">
        <v>1359</v>
      </c>
      <c r="H177" s="14" t="s">
        <v>1360</v>
      </c>
      <c r="I177" s="14" t="s">
        <v>26</v>
      </c>
      <c r="J177" s="14" t="s">
        <v>1361</v>
      </c>
      <c r="K177" s="16" t="s">
        <v>1362</v>
      </c>
      <c r="L177" s="17"/>
      <c r="M177" s="17"/>
      <c r="N177" s="11"/>
      <c r="O177" s="11"/>
    </row>
    <row r="178" ht="22.5" customHeight="1">
      <c r="A178" s="11"/>
      <c r="B178" s="12" t="s">
        <v>1363</v>
      </c>
      <c r="C178" s="14" t="s">
        <v>1364</v>
      </c>
      <c r="D178" s="14" t="s">
        <v>1365</v>
      </c>
      <c r="E178" s="14" t="s">
        <v>1366</v>
      </c>
      <c r="F178" s="14" t="s">
        <v>62</v>
      </c>
      <c r="G178" s="15" t="s">
        <v>1367</v>
      </c>
      <c r="H178" s="14" t="s">
        <v>1368</v>
      </c>
      <c r="I178" s="14" t="s">
        <v>399</v>
      </c>
      <c r="J178" s="14" t="s">
        <v>1369</v>
      </c>
      <c r="K178" s="16" t="s">
        <v>1370</v>
      </c>
      <c r="L178" s="17"/>
      <c r="M178" s="17"/>
      <c r="N178" s="11"/>
      <c r="O178" s="11"/>
    </row>
    <row r="179" ht="22.5" customHeight="1">
      <c r="A179" s="11"/>
      <c r="B179" s="12" t="s">
        <v>1371</v>
      </c>
      <c r="C179" s="14" t="s">
        <v>1372</v>
      </c>
      <c r="D179" s="14" t="s">
        <v>1373</v>
      </c>
      <c r="E179" s="14" t="s">
        <v>1374</v>
      </c>
      <c r="F179" s="14" t="s">
        <v>44</v>
      </c>
      <c r="G179" s="15" t="s">
        <v>1375</v>
      </c>
      <c r="H179" s="14" t="s">
        <v>1376</v>
      </c>
      <c r="I179" s="14" t="s">
        <v>37</v>
      </c>
      <c r="J179" s="14" t="s">
        <v>1377</v>
      </c>
      <c r="K179" s="16" t="s">
        <v>1378</v>
      </c>
      <c r="L179" s="17"/>
      <c r="M179" s="17"/>
      <c r="N179" s="11"/>
      <c r="O179" s="11"/>
    </row>
    <row r="180" ht="22.5" customHeight="1">
      <c r="A180" s="11"/>
      <c r="B180" s="12" t="s">
        <v>1379</v>
      </c>
      <c r="C180" s="14" t="s">
        <v>1380</v>
      </c>
      <c r="D180" s="14" t="s">
        <v>1381</v>
      </c>
      <c r="E180" s="14" t="s">
        <v>1382</v>
      </c>
      <c r="F180" s="14" t="s">
        <v>34</v>
      </c>
      <c r="G180" s="15" t="s">
        <v>1383</v>
      </c>
      <c r="H180" s="14" t="s">
        <v>1384</v>
      </c>
      <c r="I180" s="14" t="s">
        <v>399</v>
      </c>
      <c r="J180" s="14" t="s">
        <v>1385</v>
      </c>
      <c r="K180" s="16" t="s">
        <v>1386</v>
      </c>
      <c r="L180" s="17"/>
      <c r="M180" s="17"/>
      <c r="N180" s="11"/>
      <c r="O180" s="11"/>
    </row>
    <row r="181" ht="22.5" customHeight="1">
      <c r="A181" s="11"/>
      <c r="B181" s="12" t="s">
        <v>1387</v>
      </c>
      <c r="C181" s="14" t="s">
        <v>1388</v>
      </c>
      <c r="D181" s="14" t="s">
        <v>1389</v>
      </c>
      <c r="E181" s="14" t="s">
        <v>1390</v>
      </c>
      <c r="F181" s="14" t="s">
        <v>23</v>
      </c>
      <c r="G181" s="15" t="s">
        <v>1391</v>
      </c>
      <c r="H181" s="14" t="s">
        <v>1392</v>
      </c>
      <c r="I181" s="14" t="s">
        <v>37</v>
      </c>
      <c r="J181" s="14" t="s">
        <v>1393</v>
      </c>
      <c r="K181" s="16" t="s">
        <v>1394</v>
      </c>
      <c r="L181" s="17"/>
      <c r="M181" s="17"/>
      <c r="N181" s="11"/>
      <c r="O181" s="11"/>
    </row>
    <row r="182" ht="22.5" customHeight="1">
      <c r="A182" s="11"/>
      <c r="B182" s="12" t="s">
        <v>1395</v>
      </c>
      <c r="C182" s="14" t="s">
        <v>1396</v>
      </c>
      <c r="D182" s="14" t="s">
        <v>1397</v>
      </c>
      <c r="E182" s="14" t="s">
        <v>1398</v>
      </c>
      <c r="F182" s="14" t="s">
        <v>44</v>
      </c>
      <c r="G182" s="15" t="s">
        <v>1399</v>
      </c>
      <c r="H182" s="14" t="s">
        <v>1400</v>
      </c>
      <c r="I182" s="14" t="s">
        <v>37</v>
      </c>
      <c r="J182" s="14" t="s">
        <v>1401</v>
      </c>
      <c r="K182" s="16" t="s">
        <v>1402</v>
      </c>
      <c r="L182" s="17"/>
      <c r="M182" s="17"/>
      <c r="N182" s="11"/>
      <c r="O182" s="11"/>
    </row>
    <row r="183" ht="22.5" customHeight="1">
      <c r="A183" s="11"/>
      <c r="B183" s="12" t="s">
        <v>1403</v>
      </c>
      <c r="C183" s="14" t="s">
        <v>1404</v>
      </c>
      <c r="D183" s="14" t="s">
        <v>1405</v>
      </c>
      <c r="E183" s="14" t="s">
        <v>1406</v>
      </c>
      <c r="F183" s="14" t="s">
        <v>115</v>
      </c>
      <c r="G183" s="15" t="s">
        <v>1407</v>
      </c>
      <c r="H183" s="14" t="s">
        <v>1408</v>
      </c>
      <c r="I183" s="14" t="s">
        <v>399</v>
      </c>
      <c r="J183" s="14" t="s">
        <v>1409</v>
      </c>
      <c r="K183" s="16" t="s">
        <v>1410</v>
      </c>
      <c r="L183" s="17"/>
      <c r="M183" s="17"/>
      <c r="N183" s="11"/>
      <c r="O183" s="11"/>
    </row>
    <row r="184" ht="22.5" customHeight="1">
      <c r="A184" s="11"/>
      <c r="B184" s="12" t="s">
        <v>1411</v>
      </c>
      <c r="C184" s="14" t="s">
        <v>1412</v>
      </c>
      <c r="D184" s="14" t="s">
        <v>1413</v>
      </c>
      <c r="E184" s="14" t="s">
        <v>1414</v>
      </c>
      <c r="F184" s="14" t="s">
        <v>23</v>
      </c>
      <c r="G184" s="15" t="s">
        <v>1415</v>
      </c>
      <c r="H184" s="14" t="s">
        <v>1416</v>
      </c>
      <c r="I184" s="14" t="s">
        <v>399</v>
      </c>
      <c r="J184" s="14" t="s">
        <v>1417</v>
      </c>
      <c r="K184" s="16" t="s">
        <v>1418</v>
      </c>
      <c r="L184" s="17"/>
      <c r="M184" s="17"/>
      <c r="N184" s="11"/>
      <c r="O184" s="11"/>
    </row>
    <row r="185" ht="22.5" customHeight="1">
      <c r="A185" s="11"/>
      <c r="B185" s="12" t="s">
        <v>1419</v>
      </c>
      <c r="C185" s="14" t="s">
        <v>1420</v>
      </c>
      <c r="D185" s="14" t="s">
        <v>1421</v>
      </c>
      <c r="E185" s="14" t="s">
        <v>1422</v>
      </c>
      <c r="F185" s="14" t="s">
        <v>44</v>
      </c>
      <c r="G185" s="15" t="s">
        <v>1423</v>
      </c>
      <c r="H185" s="14" t="s">
        <v>1424</v>
      </c>
      <c r="I185" s="14" t="s">
        <v>399</v>
      </c>
      <c r="J185" s="14" t="s">
        <v>1425</v>
      </c>
      <c r="K185" s="16" t="s">
        <v>1426</v>
      </c>
      <c r="L185" s="17"/>
      <c r="M185" s="17"/>
      <c r="N185" s="11"/>
      <c r="O185" s="11"/>
    </row>
    <row r="186" ht="22.5" customHeight="1">
      <c r="A186" s="11"/>
      <c r="B186" s="12" t="s">
        <v>1427</v>
      </c>
      <c r="C186" s="14" t="s">
        <v>1428</v>
      </c>
      <c r="D186" s="14" t="s">
        <v>1429</v>
      </c>
      <c r="E186" s="14" t="s">
        <v>1430</v>
      </c>
      <c r="F186" s="14" t="s">
        <v>34</v>
      </c>
      <c r="G186" s="15" t="s">
        <v>1431</v>
      </c>
      <c r="H186" s="14" t="s">
        <v>1432</v>
      </c>
      <c r="I186" s="14" t="s">
        <v>37</v>
      </c>
      <c r="J186" s="14" t="s">
        <v>1433</v>
      </c>
      <c r="K186" s="16" t="s">
        <v>1434</v>
      </c>
      <c r="L186" s="17"/>
      <c r="M186" s="17"/>
      <c r="N186" s="11"/>
      <c r="O186" s="11"/>
    </row>
    <row r="187" ht="22.5" customHeight="1">
      <c r="A187" s="11"/>
      <c r="B187" s="12" t="s">
        <v>1435</v>
      </c>
      <c r="C187" s="14" t="s">
        <v>1436</v>
      </c>
      <c r="D187" s="14" t="s">
        <v>1437</v>
      </c>
      <c r="E187" s="14" t="s">
        <v>1438</v>
      </c>
      <c r="F187" s="14" t="s">
        <v>1156</v>
      </c>
      <c r="G187" s="15" t="s">
        <v>1439</v>
      </c>
      <c r="H187" s="14" t="s">
        <v>1440</v>
      </c>
      <c r="I187" s="14" t="s">
        <v>37</v>
      </c>
      <c r="J187" s="14" t="s">
        <v>1441</v>
      </c>
      <c r="K187" s="16" t="s">
        <v>1442</v>
      </c>
      <c r="L187" s="17"/>
      <c r="M187" s="17"/>
      <c r="N187" s="11"/>
      <c r="O187" s="11"/>
    </row>
    <row r="188" ht="22.5" customHeight="1">
      <c r="A188" s="11"/>
      <c r="B188" s="12" t="s">
        <v>1443</v>
      </c>
      <c r="C188" s="14" t="s">
        <v>1444</v>
      </c>
      <c r="D188" s="14" t="s">
        <v>1445</v>
      </c>
      <c r="E188" s="14" t="s">
        <v>1446</v>
      </c>
      <c r="F188" s="14" t="s">
        <v>62</v>
      </c>
      <c r="G188" s="15" t="s">
        <v>1447</v>
      </c>
      <c r="H188" s="14" t="s">
        <v>1448</v>
      </c>
      <c r="I188" s="14" t="s">
        <v>37</v>
      </c>
      <c r="J188" s="14" t="s">
        <v>1449</v>
      </c>
      <c r="K188" s="16" t="s">
        <v>1450</v>
      </c>
      <c r="L188" s="17"/>
      <c r="M188" s="17"/>
      <c r="N188" s="11"/>
      <c r="O188" s="11"/>
    </row>
    <row r="189" ht="22.5" customHeight="1">
      <c r="A189" s="11"/>
      <c r="B189" s="12" t="s">
        <v>1451</v>
      </c>
      <c r="C189" s="14" t="s">
        <v>1452</v>
      </c>
      <c r="D189" s="14" t="s">
        <v>1453</v>
      </c>
      <c r="E189" s="14" t="s">
        <v>1454</v>
      </c>
      <c r="F189" s="14" t="s">
        <v>62</v>
      </c>
      <c r="G189" s="15" t="s">
        <v>1455</v>
      </c>
      <c r="H189" s="14" t="s">
        <v>1456</v>
      </c>
      <c r="I189" s="14" t="s">
        <v>37</v>
      </c>
      <c r="J189" s="14" t="s">
        <v>1457</v>
      </c>
      <c r="K189" s="16" t="s">
        <v>1458</v>
      </c>
      <c r="L189" s="17"/>
      <c r="M189" s="17"/>
      <c r="N189" s="11"/>
      <c r="O189" s="11"/>
    </row>
    <row r="190" ht="22.5" customHeight="1">
      <c r="A190" s="11"/>
      <c r="B190" s="12" t="s">
        <v>1459</v>
      </c>
      <c r="C190" s="14" t="s">
        <v>1460</v>
      </c>
      <c r="D190" s="14" t="s">
        <v>1461</v>
      </c>
      <c r="E190" s="14" t="s">
        <v>1462</v>
      </c>
      <c r="F190" s="14" t="s">
        <v>34</v>
      </c>
      <c r="G190" s="15" t="s">
        <v>1463</v>
      </c>
      <c r="H190" s="14" t="s">
        <v>1464</v>
      </c>
      <c r="I190" s="14" t="s">
        <v>37</v>
      </c>
      <c r="J190" s="14" t="s">
        <v>1465</v>
      </c>
      <c r="K190" s="16" t="s">
        <v>1466</v>
      </c>
      <c r="L190" s="17"/>
      <c r="M190" s="17"/>
      <c r="N190" s="11"/>
      <c r="O190" s="11"/>
    </row>
    <row r="191" ht="22.5" customHeight="1">
      <c r="A191" s="11"/>
      <c r="B191" s="12" t="s">
        <v>1467</v>
      </c>
      <c r="C191" s="14" t="s">
        <v>1468</v>
      </c>
      <c r="D191" s="14" t="s">
        <v>1469</v>
      </c>
      <c r="E191" s="14" t="s">
        <v>1470</v>
      </c>
      <c r="F191" s="14" t="s">
        <v>62</v>
      </c>
      <c r="G191" s="15" t="s">
        <v>1471</v>
      </c>
      <c r="H191" s="14" t="s">
        <v>1472</v>
      </c>
      <c r="I191" s="14" t="s">
        <v>399</v>
      </c>
      <c r="J191" s="14" t="s">
        <v>1473</v>
      </c>
      <c r="K191" s="16" t="s">
        <v>1474</v>
      </c>
      <c r="L191" s="17"/>
      <c r="M191" s="17"/>
      <c r="N191" s="11"/>
      <c r="O191" s="11"/>
    </row>
    <row r="192" ht="22.5" customHeight="1">
      <c r="A192" s="11"/>
      <c r="B192" s="12" t="s">
        <v>1475</v>
      </c>
      <c r="C192" s="14" t="s">
        <v>1476</v>
      </c>
      <c r="D192" s="14" t="s">
        <v>1477</v>
      </c>
      <c r="E192" s="14" t="s">
        <v>1478</v>
      </c>
      <c r="F192" s="14" t="s">
        <v>34</v>
      </c>
      <c r="G192" s="15" t="s">
        <v>1479</v>
      </c>
      <c r="H192" s="14" t="s">
        <v>1480</v>
      </c>
      <c r="I192" s="14" t="s">
        <v>37</v>
      </c>
      <c r="J192" s="14" t="s">
        <v>1481</v>
      </c>
      <c r="K192" s="16" t="s">
        <v>1482</v>
      </c>
      <c r="L192" s="17"/>
      <c r="M192" s="17"/>
      <c r="N192" s="11"/>
      <c r="O192" s="11"/>
    </row>
    <row r="193" ht="22.5" customHeight="1">
      <c r="A193" s="11"/>
      <c r="B193" s="12" t="s">
        <v>1483</v>
      </c>
      <c r="C193" s="14" t="s">
        <v>1484</v>
      </c>
      <c r="D193" s="14" t="s">
        <v>1485</v>
      </c>
      <c r="E193" s="14" t="s">
        <v>1486</v>
      </c>
      <c r="F193" s="14" t="s">
        <v>1123</v>
      </c>
      <c r="G193" s="15" t="s">
        <v>1487</v>
      </c>
      <c r="H193" s="14" t="s">
        <v>1488</v>
      </c>
      <c r="I193" s="14" t="s">
        <v>37</v>
      </c>
      <c r="J193" s="14" t="s">
        <v>1484</v>
      </c>
      <c r="K193" s="16" t="s">
        <v>1489</v>
      </c>
      <c r="L193" s="17"/>
      <c r="M193" s="17"/>
      <c r="N193" s="11"/>
      <c r="O193" s="11"/>
    </row>
    <row r="194" ht="22.5" customHeight="1">
      <c r="A194" s="11"/>
      <c r="B194" s="12" t="s">
        <v>1490</v>
      </c>
      <c r="C194" s="14" t="s">
        <v>1491</v>
      </c>
      <c r="D194" s="14" t="s">
        <v>1492</v>
      </c>
      <c r="E194" s="14" t="s">
        <v>1493</v>
      </c>
      <c r="F194" s="14" t="s">
        <v>238</v>
      </c>
      <c r="G194" s="15" t="s">
        <v>1494</v>
      </c>
      <c r="H194" s="14" t="s">
        <v>1495</v>
      </c>
      <c r="I194" s="14" t="s">
        <v>37</v>
      </c>
      <c r="J194" s="14" t="s">
        <v>1496</v>
      </c>
      <c r="K194" s="16" t="s">
        <v>1497</v>
      </c>
      <c r="L194" s="17"/>
      <c r="M194" s="17"/>
      <c r="N194" s="11"/>
      <c r="O194" s="11"/>
    </row>
    <row r="195" ht="22.5" customHeight="1">
      <c r="A195" s="11"/>
      <c r="B195" s="12" t="s">
        <v>1498</v>
      </c>
      <c r="C195" s="14" t="s">
        <v>1499</v>
      </c>
      <c r="D195" s="14" t="s">
        <v>1500</v>
      </c>
      <c r="E195" s="14" t="s">
        <v>1501</v>
      </c>
      <c r="F195" s="14" t="s">
        <v>34</v>
      </c>
      <c r="G195" s="15" t="s">
        <v>1502</v>
      </c>
      <c r="H195" s="14" t="s">
        <v>1503</v>
      </c>
      <c r="I195" s="14" t="s">
        <v>37</v>
      </c>
      <c r="J195" s="14" t="s">
        <v>1504</v>
      </c>
      <c r="K195" s="16" t="s">
        <v>1505</v>
      </c>
      <c r="L195" s="17"/>
      <c r="M195" s="17"/>
      <c r="N195" s="11"/>
      <c r="O195" s="11"/>
    </row>
    <row r="196" ht="22.5" customHeight="1">
      <c r="A196" s="11"/>
      <c r="B196" s="12" t="s">
        <v>1506</v>
      </c>
      <c r="C196" s="14" t="s">
        <v>1507</v>
      </c>
      <c r="D196" s="14" t="s">
        <v>1508</v>
      </c>
      <c r="E196" s="14" t="s">
        <v>1509</v>
      </c>
      <c r="F196" s="14" t="s">
        <v>23</v>
      </c>
      <c r="G196" s="15" t="s">
        <v>1510</v>
      </c>
      <c r="H196" s="14" t="s">
        <v>1511</v>
      </c>
      <c r="I196" s="14" t="s">
        <v>26</v>
      </c>
      <c r="J196" s="14" t="s">
        <v>1512</v>
      </c>
      <c r="K196" s="16" t="s">
        <v>1513</v>
      </c>
      <c r="L196" s="17"/>
      <c r="M196" s="17"/>
      <c r="N196" s="11"/>
      <c r="O196" s="11"/>
    </row>
    <row r="197" ht="22.5" customHeight="1">
      <c r="A197" s="11"/>
      <c r="B197" s="12" t="s">
        <v>1514</v>
      </c>
      <c r="C197" s="14" t="s">
        <v>1515</v>
      </c>
      <c r="D197" s="14" t="s">
        <v>1516</v>
      </c>
      <c r="E197" s="14" t="s">
        <v>1517</v>
      </c>
      <c r="F197" s="14" t="s">
        <v>44</v>
      </c>
      <c r="G197" s="15" t="s">
        <v>1518</v>
      </c>
      <c r="H197" s="14" t="s">
        <v>1519</v>
      </c>
      <c r="I197" s="14" t="s">
        <v>37</v>
      </c>
      <c r="J197" s="14" t="s">
        <v>1520</v>
      </c>
      <c r="K197" s="16" t="s">
        <v>1521</v>
      </c>
      <c r="L197" s="17"/>
      <c r="M197" s="17"/>
      <c r="N197" s="11"/>
      <c r="O197" s="11"/>
    </row>
    <row r="198" ht="22.5" customHeight="1">
      <c r="A198" s="11"/>
      <c r="B198" s="12" t="s">
        <v>1522</v>
      </c>
      <c r="C198" s="14" t="s">
        <v>1523</v>
      </c>
      <c r="D198" s="14" t="s">
        <v>1524</v>
      </c>
      <c r="E198" s="14" t="s">
        <v>1525</v>
      </c>
      <c r="F198" s="14" t="s">
        <v>1156</v>
      </c>
      <c r="G198" s="15" t="s">
        <v>1526</v>
      </c>
      <c r="H198" s="14" t="s">
        <v>1527</v>
      </c>
      <c r="I198" s="14" t="s">
        <v>399</v>
      </c>
      <c r="J198" s="14" t="s">
        <v>1528</v>
      </c>
      <c r="K198" s="16" t="s">
        <v>1529</v>
      </c>
      <c r="L198" s="17"/>
      <c r="M198" s="17"/>
      <c r="N198" s="11"/>
      <c r="O198" s="11"/>
    </row>
    <row r="199" ht="22.5" customHeight="1">
      <c r="A199" s="11"/>
      <c r="B199" s="12" t="s">
        <v>1530</v>
      </c>
      <c r="C199" s="14" t="s">
        <v>1531</v>
      </c>
      <c r="D199" s="14" t="s">
        <v>1532</v>
      </c>
      <c r="E199" s="14" t="s">
        <v>1533</v>
      </c>
      <c r="F199" s="14" t="s">
        <v>23</v>
      </c>
      <c r="G199" s="15" t="s">
        <v>1534</v>
      </c>
      <c r="H199" s="14" t="s">
        <v>1535</v>
      </c>
      <c r="I199" s="14" t="s">
        <v>37</v>
      </c>
      <c r="J199" s="14" t="s">
        <v>1536</v>
      </c>
      <c r="K199" s="16" t="s">
        <v>1537</v>
      </c>
      <c r="L199" s="17"/>
      <c r="M199" s="17"/>
      <c r="N199" s="11"/>
      <c r="O199" s="11"/>
    </row>
    <row r="200" ht="22.5" customHeight="1">
      <c r="A200" s="11"/>
      <c r="B200" s="12" t="s">
        <v>1538</v>
      </c>
      <c r="C200" s="14" t="s">
        <v>1539</v>
      </c>
      <c r="D200" s="14" t="s">
        <v>1540</v>
      </c>
      <c r="E200" s="14" t="s">
        <v>1541</v>
      </c>
      <c r="F200" s="14" t="s">
        <v>1123</v>
      </c>
      <c r="G200" s="15" t="s">
        <v>1542</v>
      </c>
      <c r="H200" s="14" t="s">
        <v>1543</v>
      </c>
      <c r="I200" s="14" t="s">
        <v>37</v>
      </c>
      <c r="J200" s="14" t="s">
        <v>1544</v>
      </c>
      <c r="K200" s="16" t="s">
        <v>1545</v>
      </c>
      <c r="L200" s="17"/>
      <c r="M200" s="17"/>
      <c r="N200" s="11"/>
      <c r="O200" s="11"/>
    </row>
    <row r="201" ht="22.5" customHeight="1">
      <c r="A201" s="11"/>
      <c r="B201" s="12" t="s">
        <v>1538</v>
      </c>
      <c r="C201" s="14" t="s">
        <v>1539</v>
      </c>
      <c r="D201" s="14" t="s">
        <v>1546</v>
      </c>
      <c r="E201" s="14" t="s">
        <v>1547</v>
      </c>
      <c r="F201" s="14" t="s">
        <v>23</v>
      </c>
      <c r="G201" s="15" t="s">
        <v>1542</v>
      </c>
      <c r="H201" s="14" t="s">
        <v>1543</v>
      </c>
      <c r="I201" s="14" t="s">
        <v>37</v>
      </c>
      <c r="J201" s="14" t="s">
        <v>1544</v>
      </c>
      <c r="K201" s="16" t="s">
        <v>1545</v>
      </c>
      <c r="L201" s="17"/>
      <c r="M201" s="17"/>
      <c r="N201" s="11"/>
      <c r="O201" s="11"/>
    </row>
    <row r="202" ht="22.5" customHeight="1">
      <c r="A202" s="11"/>
      <c r="B202" s="12" t="s">
        <v>1548</v>
      </c>
      <c r="C202" s="14" t="s">
        <v>1549</v>
      </c>
      <c r="D202" s="14" t="s">
        <v>1550</v>
      </c>
      <c r="E202" s="14" t="s">
        <v>1551</v>
      </c>
      <c r="F202" s="14" t="s">
        <v>23</v>
      </c>
      <c r="G202" s="15" t="s">
        <v>1552</v>
      </c>
      <c r="H202" s="14" t="s">
        <v>1553</v>
      </c>
      <c r="I202" s="14" t="s">
        <v>37</v>
      </c>
      <c r="J202" s="14" t="s">
        <v>1554</v>
      </c>
      <c r="K202" s="16" t="s">
        <v>1555</v>
      </c>
      <c r="L202" s="17"/>
      <c r="M202" s="17"/>
      <c r="N202" s="11"/>
      <c r="O202" s="11"/>
    </row>
    <row r="203" ht="22.5" customHeight="1">
      <c r="A203" s="11"/>
      <c r="B203" s="12" t="s">
        <v>1556</v>
      </c>
      <c r="C203" s="14" t="s">
        <v>1557</v>
      </c>
      <c r="D203" s="14" t="s">
        <v>1558</v>
      </c>
      <c r="E203" s="14" t="s">
        <v>1559</v>
      </c>
      <c r="F203" s="14" t="s">
        <v>44</v>
      </c>
      <c r="G203" s="15" t="s">
        <v>1560</v>
      </c>
      <c r="H203" s="14" t="s">
        <v>1561</v>
      </c>
      <c r="I203" s="14" t="s">
        <v>399</v>
      </c>
      <c r="J203" s="14" t="s">
        <v>1562</v>
      </c>
      <c r="K203" s="16" t="s">
        <v>1563</v>
      </c>
      <c r="L203" s="17"/>
      <c r="M203" s="17"/>
      <c r="N203" s="11"/>
      <c r="O203" s="11"/>
    </row>
    <row r="204" ht="22.5" customHeight="1">
      <c r="A204" s="11"/>
      <c r="B204" s="12" t="s">
        <v>1564</v>
      </c>
      <c r="C204" s="14" t="s">
        <v>1565</v>
      </c>
      <c r="D204" s="14" t="s">
        <v>1566</v>
      </c>
      <c r="E204" s="14" t="s">
        <v>1567</v>
      </c>
      <c r="F204" s="14" t="s">
        <v>34</v>
      </c>
      <c r="G204" s="15" t="s">
        <v>1568</v>
      </c>
      <c r="H204" s="14" t="s">
        <v>1569</v>
      </c>
      <c r="I204" s="14" t="s">
        <v>37</v>
      </c>
      <c r="J204" s="14" t="s">
        <v>1570</v>
      </c>
      <c r="K204" s="16" t="s">
        <v>1571</v>
      </c>
      <c r="L204" s="17"/>
      <c r="M204" s="17"/>
      <c r="N204" s="11"/>
      <c r="O204" s="11"/>
    </row>
    <row r="205" ht="22.5" customHeight="1">
      <c r="A205" s="11"/>
      <c r="B205" s="12" t="s">
        <v>1572</v>
      </c>
      <c r="C205" s="14" t="s">
        <v>1573</v>
      </c>
      <c r="D205" s="14" t="s">
        <v>1574</v>
      </c>
      <c r="E205" s="14" t="s">
        <v>1575</v>
      </c>
      <c r="F205" s="14" t="s">
        <v>44</v>
      </c>
      <c r="G205" s="15" t="s">
        <v>1576</v>
      </c>
      <c r="H205" s="14" t="s">
        <v>1577</v>
      </c>
      <c r="I205" s="14" t="s">
        <v>399</v>
      </c>
      <c r="J205" s="14" t="s">
        <v>1578</v>
      </c>
      <c r="K205" s="16" t="s">
        <v>1579</v>
      </c>
      <c r="L205" s="17"/>
      <c r="M205" s="17"/>
      <c r="N205" s="11"/>
      <c r="O205" s="11"/>
    </row>
    <row r="206" ht="22.5" customHeight="1">
      <c r="A206" s="11"/>
      <c r="B206" s="12" t="s">
        <v>190</v>
      </c>
      <c r="C206" s="14" t="s">
        <v>191</v>
      </c>
      <c r="D206" s="14" t="s">
        <v>1580</v>
      </c>
      <c r="E206" s="14" t="s">
        <v>1581</v>
      </c>
      <c r="F206" s="14" t="s">
        <v>44</v>
      </c>
      <c r="G206" s="15" t="s">
        <v>1582</v>
      </c>
      <c r="H206" s="14" t="s">
        <v>1583</v>
      </c>
      <c r="I206" s="14" t="s">
        <v>399</v>
      </c>
      <c r="J206" s="14" t="s">
        <v>1584</v>
      </c>
      <c r="K206" s="16" t="s">
        <v>197</v>
      </c>
      <c r="L206" s="17"/>
      <c r="M206" s="17"/>
      <c r="N206" s="11"/>
      <c r="O206" s="11"/>
    </row>
    <row r="207" ht="22.5" customHeight="1">
      <c r="A207" s="11"/>
      <c r="B207" s="12" t="s">
        <v>1585</v>
      </c>
      <c r="C207" s="14" t="s">
        <v>1586</v>
      </c>
      <c r="D207" s="14" t="s">
        <v>1587</v>
      </c>
      <c r="E207" s="14" t="s">
        <v>1588</v>
      </c>
      <c r="F207" s="14" t="s">
        <v>62</v>
      </c>
      <c r="G207" s="15" t="s">
        <v>1589</v>
      </c>
      <c r="H207" s="14" t="s">
        <v>1590</v>
      </c>
      <c r="I207" s="14" t="s">
        <v>37</v>
      </c>
      <c r="J207" s="14" t="s">
        <v>1591</v>
      </c>
      <c r="K207" s="16" t="s">
        <v>1592</v>
      </c>
      <c r="L207" s="17"/>
      <c r="M207" s="17"/>
      <c r="N207" s="11"/>
      <c r="O207" s="11"/>
    </row>
    <row r="208" ht="22.5" customHeight="1">
      <c r="A208" s="11"/>
      <c r="B208" s="12" t="s">
        <v>1593</v>
      </c>
      <c r="C208" s="14" t="s">
        <v>1594</v>
      </c>
      <c r="D208" s="14" t="s">
        <v>1595</v>
      </c>
      <c r="E208" s="14" t="s">
        <v>1596</v>
      </c>
      <c r="F208" s="14" t="s">
        <v>34</v>
      </c>
      <c r="G208" s="15" t="s">
        <v>1597</v>
      </c>
      <c r="H208" s="14" t="s">
        <v>1598</v>
      </c>
      <c r="I208" s="14" t="s">
        <v>26</v>
      </c>
      <c r="J208" s="14" t="s">
        <v>1599</v>
      </c>
      <c r="K208" s="16" t="s">
        <v>1600</v>
      </c>
      <c r="L208" s="17"/>
      <c r="M208" s="17"/>
      <c r="N208" s="11"/>
      <c r="O208" s="11"/>
    </row>
    <row r="209" ht="22.5" customHeight="1">
      <c r="A209" s="11"/>
      <c r="B209" s="12" t="s">
        <v>1601</v>
      </c>
      <c r="C209" s="14" t="s">
        <v>1602</v>
      </c>
      <c r="D209" s="14" t="s">
        <v>1603</v>
      </c>
      <c r="E209" s="14" t="s">
        <v>1604</v>
      </c>
      <c r="F209" s="14" t="s">
        <v>44</v>
      </c>
      <c r="G209" s="15" t="s">
        <v>1605</v>
      </c>
      <c r="H209" s="14" t="s">
        <v>1606</v>
      </c>
      <c r="I209" s="14" t="s">
        <v>37</v>
      </c>
      <c r="J209" s="14" t="s">
        <v>1607</v>
      </c>
      <c r="K209" s="16" t="s">
        <v>1608</v>
      </c>
      <c r="L209" s="17"/>
      <c r="M209" s="17"/>
      <c r="N209" s="11"/>
      <c r="O209" s="11"/>
    </row>
    <row r="210" ht="22.5" customHeight="1">
      <c r="A210" s="11"/>
      <c r="B210" s="12" t="s">
        <v>1609</v>
      </c>
      <c r="C210" s="14" t="s">
        <v>1610</v>
      </c>
      <c r="D210" s="14" t="s">
        <v>1611</v>
      </c>
      <c r="E210" s="14" t="s">
        <v>1612</v>
      </c>
      <c r="F210" s="14" t="s">
        <v>34</v>
      </c>
      <c r="G210" s="15" t="s">
        <v>1613</v>
      </c>
      <c r="H210" s="14" t="s">
        <v>1614</v>
      </c>
      <c r="I210" s="14" t="s">
        <v>37</v>
      </c>
      <c r="J210" s="14" t="s">
        <v>1615</v>
      </c>
      <c r="K210" s="16" t="s">
        <v>1616</v>
      </c>
      <c r="L210" s="17"/>
      <c r="M210" s="14" t="s">
        <v>1617</v>
      </c>
      <c r="N210" s="11"/>
      <c r="O210" s="11"/>
    </row>
    <row r="211" ht="22.5" customHeight="1">
      <c r="A211" s="11"/>
      <c r="B211" s="12" t="s">
        <v>1618</v>
      </c>
      <c r="C211" s="14" t="s">
        <v>1619</v>
      </c>
      <c r="D211" s="14" t="s">
        <v>1620</v>
      </c>
      <c r="E211" s="14" t="s">
        <v>1621</v>
      </c>
      <c r="F211" s="14" t="s">
        <v>44</v>
      </c>
      <c r="G211" s="15" t="s">
        <v>1622</v>
      </c>
      <c r="H211" s="14" t="s">
        <v>1623</v>
      </c>
      <c r="I211" s="14" t="s">
        <v>399</v>
      </c>
      <c r="J211" s="14" t="s">
        <v>1624</v>
      </c>
      <c r="K211" s="16" t="s">
        <v>1625</v>
      </c>
      <c r="L211" s="17"/>
      <c r="M211" s="17"/>
      <c r="N211" s="11"/>
      <c r="O211" s="11"/>
    </row>
    <row r="212" ht="22.5" customHeight="1">
      <c r="A212" s="11"/>
      <c r="B212" s="12" t="s">
        <v>1626</v>
      </c>
      <c r="C212" s="14" t="s">
        <v>1627</v>
      </c>
      <c r="D212" s="14" t="s">
        <v>1628</v>
      </c>
      <c r="E212" s="14" t="s">
        <v>1629</v>
      </c>
      <c r="F212" s="14" t="s">
        <v>34</v>
      </c>
      <c r="G212" s="15" t="s">
        <v>1630</v>
      </c>
      <c r="H212" s="14" t="s">
        <v>1631</v>
      </c>
      <c r="I212" s="14" t="s">
        <v>37</v>
      </c>
      <c r="J212" s="14" t="s">
        <v>1632</v>
      </c>
      <c r="K212" s="16" t="s">
        <v>1633</v>
      </c>
      <c r="L212" s="17"/>
      <c r="M212" s="17"/>
      <c r="N212" s="11"/>
      <c r="O212" s="11"/>
    </row>
    <row r="213" ht="22.5" customHeight="1">
      <c r="A213" s="11"/>
      <c r="B213" s="12" t="s">
        <v>1634</v>
      </c>
      <c r="C213" s="14" t="s">
        <v>1635</v>
      </c>
      <c r="D213" s="14" t="s">
        <v>32</v>
      </c>
      <c r="E213" s="14" t="s">
        <v>1636</v>
      </c>
      <c r="F213" s="14" t="s">
        <v>34</v>
      </c>
      <c r="G213" s="15" t="s">
        <v>1637</v>
      </c>
      <c r="H213" s="14" t="s">
        <v>1638</v>
      </c>
      <c r="I213" s="14" t="s">
        <v>37</v>
      </c>
      <c r="J213" s="14" t="s">
        <v>1639</v>
      </c>
      <c r="K213" s="16" t="s">
        <v>1640</v>
      </c>
      <c r="L213" s="17"/>
      <c r="M213" s="17"/>
      <c r="N213" s="11"/>
      <c r="O213" s="11"/>
    </row>
    <row r="214" ht="22.5" customHeight="1">
      <c r="A214" s="11"/>
      <c r="B214" s="12" t="s">
        <v>1641</v>
      </c>
      <c r="C214" s="14" t="s">
        <v>1642</v>
      </c>
      <c r="D214" s="14" t="s">
        <v>1643</v>
      </c>
      <c r="E214" s="14" t="s">
        <v>1644</v>
      </c>
      <c r="F214" s="14" t="s">
        <v>44</v>
      </c>
      <c r="G214" s="15" t="s">
        <v>1645</v>
      </c>
      <c r="H214" s="14" t="s">
        <v>1646</v>
      </c>
      <c r="I214" s="14" t="s">
        <v>37</v>
      </c>
      <c r="J214" s="14" t="s">
        <v>1647</v>
      </c>
      <c r="K214" s="16" t="s">
        <v>1648</v>
      </c>
      <c r="L214" s="17"/>
      <c r="M214" s="17"/>
      <c r="N214" s="11"/>
      <c r="O214" s="11"/>
    </row>
    <row r="215" ht="22.5" customHeight="1">
      <c r="A215" s="11"/>
      <c r="B215" s="12" t="s">
        <v>1649</v>
      </c>
      <c r="C215" s="14" t="s">
        <v>1650</v>
      </c>
      <c r="D215" s="14" t="s">
        <v>1651</v>
      </c>
      <c r="E215" s="14" t="s">
        <v>1652</v>
      </c>
      <c r="F215" s="14" t="s">
        <v>44</v>
      </c>
      <c r="G215" s="15" t="s">
        <v>1653</v>
      </c>
      <c r="H215" s="14" t="s">
        <v>1654</v>
      </c>
      <c r="I215" s="14" t="s">
        <v>26</v>
      </c>
      <c r="J215" s="14" t="s">
        <v>1655</v>
      </c>
      <c r="K215" s="16" t="s">
        <v>1656</v>
      </c>
      <c r="L215" s="17"/>
      <c r="M215" s="17"/>
      <c r="N215" s="11"/>
      <c r="O215" s="11"/>
    </row>
    <row r="216" ht="22.5" customHeight="1">
      <c r="A216" s="11"/>
      <c r="B216" s="12" t="s">
        <v>1657</v>
      </c>
      <c r="C216" s="14" t="s">
        <v>1658</v>
      </c>
      <c r="D216" s="14" t="s">
        <v>1659</v>
      </c>
      <c r="E216" s="14" t="s">
        <v>1660</v>
      </c>
      <c r="F216" s="14" t="s">
        <v>238</v>
      </c>
      <c r="G216" s="15" t="s">
        <v>1661</v>
      </c>
      <c r="H216" s="14" t="s">
        <v>1662</v>
      </c>
      <c r="I216" s="14" t="s">
        <v>399</v>
      </c>
      <c r="J216" s="14" t="s">
        <v>1663</v>
      </c>
      <c r="K216" s="16" t="s">
        <v>1664</v>
      </c>
      <c r="L216" s="17"/>
      <c r="M216" s="17"/>
      <c r="N216" s="11"/>
      <c r="O216" s="11"/>
    </row>
    <row r="217" ht="22.5" customHeight="1">
      <c r="A217" s="11"/>
      <c r="B217" s="12" t="s">
        <v>1665</v>
      </c>
      <c r="C217" s="14" t="s">
        <v>626</v>
      </c>
      <c r="D217" s="14" t="s">
        <v>1666</v>
      </c>
      <c r="E217" s="14" t="s">
        <v>1667</v>
      </c>
      <c r="F217" s="14" t="s">
        <v>34</v>
      </c>
      <c r="G217" s="15" t="s">
        <v>1668</v>
      </c>
      <c r="H217" s="14" t="s">
        <v>1669</v>
      </c>
      <c r="I217" s="14" t="s">
        <v>37</v>
      </c>
      <c r="J217" s="14" t="s">
        <v>1670</v>
      </c>
      <c r="K217" s="16" t="s">
        <v>1671</v>
      </c>
      <c r="L217" s="17"/>
      <c r="M217" s="17"/>
      <c r="N217" s="11"/>
      <c r="O217" s="11"/>
    </row>
    <row r="218" ht="22.5" customHeight="1">
      <c r="A218" s="11"/>
      <c r="B218" s="12" t="s">
        <v>1672</v>
      </c>
      <c r="C218" s="14" t="s">
        <v>1673</v>
      </c>
      <c r="D218" s="14" t="s">
        <v>1674</v>
      </c>
      <c r="E218" s="14" t="s">
        <v>1675</v>
      </c>
      <c r="F218" s="14" t="s">
        <v>1123</v>
      </c>
      <c r="G218" s="15" t="s">
        <v>1676</v>
      </c>
      <c r="H218" s="14" t="s">
        <v>1677</v>
      </c>
      <c r="I218" s="14" t="s">
        <v>37</v>
      </c>
      <c r="J218" s="14" t="s">
        <v>1678</v>
      </c>
      <c r="K218" s="16" t="s">
        <v>1679</v>
      </c>
      <c r="L218" s="17"/>
      <c r="M218" s="17"/>
      <c r="N218" s="11"/>
      <c r="O218" s="11"/>
    </row>
    <row r="219" ht="22.5" customHeight="1">
      <c r="A219" s="11"/>
      <c r="B219" s="12" t="s">
        <v>1680</v>
      </c>
      <c r="C219" s="14" t="s">
        <v>1681</v>
      </c>
      <c r="D219" s="14" t="s">
        <v>1682</v>
      </c>
      <c r="E219" s="14" t="s">
        <v>1683</v>
      </c>
      <c r="F219" s="14" t="s">
        <v>34</v>
      </c>
      <c r="G219" s="15" t="s">
        <v>1684</v>
      </c>
      <c r="H219" s="14" t="s">
        <v>1685</v>
      </c>
      <c r="I219" s="14" t="s">
        <v>37</v>
      </c>
      <c r="J219" s="14" t="s">
        <v>1686</v>
      </c>
      <c r="K219" s="16" t="s">
        <v>1687</v>
      </c>
      <c r="L219" s="17"/>
      <c r="M219" s="17"/>
      <c r="N219" s="11"/>
      <c r="O219" s="11"/>
    </row>
    <row r="220" ht="22.5" customHeight="1">
      <c r="A220" s="11"/>
      <c r="B220" s="12" t="s">
        <v>1338</v>
      </c>
      <c r="C220" s="14" t="s">
        <v>1339</v>
      </c>
      <c r="D220" s="14" t="s">
        <v>1688</v>
      </c>
      <c r="E220" s="14" t="s">
        <v>1689</v>
      </c>
      <c r="F220" s="14" t="s">
        <v>34</v>
      </c>
      <c r="G220" s="15" t="s">
        <v>1690</v>
      </c>
      <c r="H220" s="14" t="s">
        <v>1343</v>
      </c>
      <c r="I220" s="14" t="s">
        <v>37</v>
      </c>
      <c r="J220" s="14" t="s">
        <v>1691</v>
      </c>
      <c r="K220" s="16" t="s">
        <v>1344</v>
      </c>
      <c r="L220" s="17"/>
      <c r="M220" s="17"/>
      <c r="N220" s="11"/>
      <c r="O220" s="11"/>
    </row>
    <row r="221" ht="22.5" customHeight="1">
      <c r="A221" s="11"/>
      <c r="B221" s="12" t="s">
        <v>1692</v>
      </c>
      <c r="C221" s="14" t="s">
        <v>1693</v>
      </c>
      <c r="D221" s="14" t="s">
        <v>1694</v>
      </c>
      <c r="E221" s="14" t="s">
        <v>1695</v>
      </c>
      <c r="F221" s="14" t="s">
        <v>34</v>
      </c>
      <c r="G221" s="15" t="s">
        <v>1696</v>
      </c>
      <c r="H221" s="14" t="s">
        <v>1697</v>
      </c>
      <c r="I221" s="14" t="s">
        <v>399</v>
      </c>
      <c r="J221" s="14" t="s">
        <v>1698</v>
      </c>
      <c r="K221" s="16" t="s">
        <v>1699</v>
      </c>
      <c r="L221" s="17"/>
      <c r="M221" s="17"/>
      <c r="N221" s="11"/>
      <c r="O221" s="11"/>
    </row>
    <row r="222" ht="22.5" customHeight="1">
      <c r="A222" s="11"/>
      <c r="B222" s="12" t="s">
        <v>1700</v>
      </c>
      <c r="C222" s="14" t="s">
        <v>1701</v>
      </c>
      <c r="D222" s="14" t="s">
        <v>1702</v>
      </c>
      <c r="E222" s="14" t="s">
        <v>1703</v>
      </c>
      <c r="F222" s="14" t="s">
        <v>23</v>
      </c>
      <c r="G222" s="15" t="s">
        <v>1704</v>
      </c>
      <c r="H222" s="14" t="s">
        <v>1705</v>
      </c>
      <c r="I222" s="14" t="s">
        <v>26</v>
      </c>
      <c r="J222" s="14" t="s">
        <v>1706</v>
      </c>
      <c r="K222" s="16" t="s">
        <v>1707</v>
      </c>
      <c r="L222" s="17"/>
      <c r="M222" s="17"/>
      <c r="N222" s="11"/>
      <c r="O222" s="11"/>
    </row>
    <row r="223" ht="22.5" customHeight="1">
      <c r="A223" s="11"/>
      <c r="B223" s="12" t="s">
        <v>1708</v>
      </c>
      <c r="C223" s="14" t="s">
        <v>1709</v>
      </c>
      <c r="D223" s="14" t="s">
        <v>1710</v>
      </c>
      <c r="E223" s="14" t="s">
        <v>1711</v>
      </c>
      <c r="F223" s="14" t="s">
        <v>23</v>
      </c>
      <c r="G223" s="15" t="s">
        <v>1712</v>
      </c>
      <c r="H223" s="14" t="s">
        <v>1713</v>
      </c>
      <c r="I223" s="14" t="s">
        <v>26</v>
      </c>
      <c r="J223" s="14" t="s">
        <v>1714</v>
      </c>
      <c r="K223" s="16" t="s">
        <v>1715</v>
      </c>
      <c r="L223" s="17"/>
      <c r="M223" s="17"/>
      <c r="N223" s="11"/>
      <c r="O223" s="11"/>
    </row>
    <row r="224" ht="22.5" customHeight="1">
      <c r="A224" s="11"/>
      <c r="B224" s="14" t="s">
        <v>1716</v>
      </c>
      <c r="C224" s="14" t="s">
        <v>1717</v>
      </c>
      <c r="D224" s="14" t="s">
        <v>1718</v>
      </c>
      <c r="E224" s="14" t="s">
        <v>1719</v>
      </c>
      <c r="F224" s="14" t="s">
        <v>44</v>
      </c>
      <c r="G224" s="15" t="s">
        <v>1720</v>
      </c>
      <c r="H224" s="14" t="s">
        <v>1721</v>
      </c>
      <c r="I224" s="14" t="s">
        <v>37</v>
      </c>
      <c r="J224" s="14" t="s">
        <v>1722</v>
      </c>
      <c r="K224" s="16" t="s">
        <v>1723</v>
      </c>
      <c r="L224" s="17"/>
      <c r="M224" s="17"/>
      <c r="N224" s="11"/>
      <c r="O224" s="11"/>
    </row>
    <row r="225" ht="22.5" customHeight="1">
      <c r="A225" s="11"/>
      <c r="B225" s="12" t="s">
        <v>1724</v>
      </c>
      <c r="C225" s="14" t="s">
        <v>1725</v>
      </c>
      <c r="D225" s="14" t="s">
        <v>1725</v>
      </c>
      <c r="E225" s="14" t="s">
        <v>1726</v>
      </c>
      <c r="F225" s="14" t="s">
        <v>62</v>
      </c>
      <c r="G225" s="15" t="s">
        <v>1727</v>
      </c>
      <c r="H225" s="14" t="s">
        <v>1728</v>
      </c>
      <c r="I225" s="14" t="s">
        <v>399</v>
      </c>
      <c r="J225" s="14" t="s">
        <v>1729</v>
      </c>
      <c r="K225" s="16" t="s">
        <v>1730</v>
      </c>
      <c r="L225" s="17"/>
      <c r="M225" s="17"/>
      <c r="N225" s="11"/>
      <c r="O225" s="11"/>
    </row>
    <row r="226" ht="22.5" customHeight="1">
      <c r="A226" s="11"/>
      <c r="B226" s="12" t="s">
        <v>1731</v>
      </c>
      <c r="C226" s="14" t="s">
        <v>1732</v>
      </c>
      <c r="D226" s="14" t="s">
        <v>1733</v>
      </c>
      <c r="E226" s="14" t="s">
        <v>1734</v>
      </c>
      <c r="F226" s="14" t="s">
        <v>23</v>
      </c>
      <c r="G226" s="15" t="s">
        <v>1735</v>
      </c>
      <c r="H226" s="14" t="s">
        <v>1736</v>
      </c>
      <c r="I226" s="14" t="s">
        <v>399</v>
      </c>
      <c r="J226" s="14" t="s">
        <v>1737</v>
      </c>
      <c r="K226" s="16" t="s">
        <v>1738</v>
      </c>
      <c r="L226" s="17"/>
      <c r="M226" s="17"/>
      <c r="N226" s="11"/>
      <c r="O226" s="11"/>
    </row>
    <row r="227" ht="22.5" customHeight="1">
      <c r="A227" s="11"/>
      <c r="B227" s="12" t="s">
        <v>190</v>
      </c>
      <c r="C227" s="14" t="s">
        <v>191</v>
      </c>
      <c r="D227" s="14" t="s">
        <v>1580</v>
      </c>
      <c r="E227" s="14" t="s">
        <v>1581</v>
      </c>
      <c r="F227" s="14" t="s">
        <v>238</v>
      </c>
      <c r="G227" s="15" t="s">
        <v>1582</v>
      </c>
      <c r="H227" s="14" t="s">
        <v>1583</v>
      </c>
      <c r="I227" s="14" t="s">
        <v>399</v>
      </c>
      <c r="J227" s="14" t="s">
        <v>1584</v>
      </c>
      <c r="K227" s="16" t="s">
        <v>197</v>
      </c>
      <c r="L227" s="17"/>
      <c r="M227" s="17"/>
      <c r="N227" s="11"/>
      <c r="O227" s="11"/>
    </row>
    <row r="228" ht="22.5" customHeight="1">
      <c r="A228" s="11"/>
      <c r="B228" s="12" t="s">
        <v>1739</v>
      </c>
      <c r="C228" s="14" t="s">
        <v>1740</v>
      </c>
      <c r="D228" s="14" t="s">
        <v>1741</v>
      </c>
      <c r="E228" s="14" t="s">
        <v>1742</v>
      </c>
      <c r="F228" s="14" t="s">
        <v>44</v>
      </c>
      <c r="G228" s="15" t="s">
        <v>1743</v>
      </c>
      <c r="H228" s="14" t="s">
        <v>1744</v>
      </c>
      <c r="I228" s="14" t="s">
        <v>37</v>
      </c>
      <c r="J228" s="14" t="s">
        <v>1745</v>
      </c>
      <c r="K228" s="16" t="s">
        <v>1746</v>
      </c>
      <c r="L228" s="17"/>
      <c r="M228" s="17"/>
      <c r="N228" s="11"/>
      <c r="O228" s="11"/>
    </row>
    <row r="229" ht="22.5" customHeight="1">
      <c r="A229" s="11"/>
      <c r="B229" s="12" t="s">
        <v>1747</v>
      </c>
      <c r="C229" s="14" t="s">
        <v>1748</v>
      </c>
      <c r="D229" s="14" t="s">
        <v>1749</v>
      </c>
      <c r="E229" s="14" t="s">
        <v>1750</v>
      </c>
      <c r="F229" s="14" t="s">
        <v>62</v>
      </c>
      <c r="G229" s="15" t="s">
        <v>1751</v>
      </c>
      <c r="H229" s="14" t="s">
        <v>1752</v>
      </c>
      <c r="I229" s="14" t="s">
        <v>399</v>
      </c>
      <c r="J229" s="14" t="s">
        <v>1753</v>
      </c>
      <c r="K229" s="16" t="s">
        <v>1754</v>
      </c>
      <c r="L229" s="17"/>
      <c r="M229" s="17"/>
      <c r="N229" s="11"/>
      <c r="O229" s="11"/>
    </row>
    <row r="230" ht="22.5" customHeight="1">
      <c r="A230" s="11"/>
      <c r="B230" s="12" t="s">
        <v>1755</v>
      </c>
      <c r="C230" s="14" t="s">
        <v>1756</v>
      </c>
      <c r="D230" s="14" t="s">
        <v>1757</v>
      </c>
      <c r="E230" s="14" t="s">
        <v>1758</v>
      </c>
      <c r="F230" s="14" t="s">
        <v>62</v>
      </c>
      <c r="G230" s="15" t="s">
        <v>1759</v>
      </c>
      <c r="H230" s="14" t="s">
        <v>1760</v>
      </c>
      <c r="I230" s="14" t="s">
        <v>37</v>
      </c>
      <c r="J230" s="14" t="s">
        <v>1761</v>
      </c>
      <c r="K230" s="16" t="s">
        <v>1762</v>
      </c>
      <c r="L230" s="17"/>
      <c r="M230" s="17"/>
      <c r="N230" s="11"/>
      <c r="O230" s="11"/>
    </row>
    <row r="231" ht="22.5" customHeight="1">
      <c r="A231" s="11"/>
      <c r="B231" s="12" t="s">
        <v>1763</v>
      </c>
      <c r="C231" s="14" t="s">
        <v>1764</v>
      </c>
      <c r="D231" s="14" t="s">
        <v>1765</v>
      </c>
      <c r="E231" s="14" t="s">
        <v>1766</v>
      </c>
      <c r="F231" s="14" t="s">
        <v>44</v>
      </c>
      <c r="G231" s="15" t="s">
        <v>1767</v>
      </c>
      <c r="H231" s="14" t="s">
        <v>1768</v>
      </c>
      <c r="I231" s="14" t="s">
        <v>37</v>
      </c>
      <c r="J231" s="14" t="s">
        <v>1769</v>
      </c>
      <c r="K231" s="16" t="s">
        <v>1770</v>
      </c>
      <c r="L231" s="17"/>
      <c r="M231" s="17"/>
      <c r="N231" s="11"/>
      <c r="O231" s="11"/>
    </row>
    <row r="232" ht="22.5" customHeight="1">
      <c r="A232" s="11"/>
      <c r="B232" s="12" t="s">
        <v>1771</v>
      </c>
      <c r="C232" s="14" t="s">
        <v>1772</v>
      </c>
      <c r="D232" s="14" t="s">
        <v>1773</v>
      </c>
      <c r="E232" s="14" t="s">
        <v>1774</v>
      </c>
      <c r="F232" s="14" t="s">
        <v>44</v>
      </c>
      <c r="G232" s="15" t="s">
        <v>1775</v>
      </c>
      <c r="H232" s="14" t="s">
        <v>1776</v>
      </c>
      <c r="I232" s="14" t="s">
        <v>399</v>
      </c>
      <c r="J232" s="14" t="s">
        <v>1777</v>
      </c>
      <c r="K232" s="16" t="s">
        <v>1778</v>
      </c>
      <c r="L232" s="17"/>
      <c r="M232" s="17"/>
      <c r="N232" s="11"/>
      <c r="O232" s="11"/>
    </row>
    <row r="233" ht="22.5" customHeight="1">
      <c r="A233" s="11"/>
      <c r="B233" s="12" t="s">
        <v>1779</v>
      </c>
      <c r="C233" s="14" t="s">
        <v>1780</v>
      </c>
      <c r="D233" s="14" t="s">
        <v>1781</v>
      </c>
      <c r="E233" s="14" t="s">
        <v>1782</v>
      </c>
      <c r="F233" s="14" t="s">
        <v>62</v>
      </c>
      <c r="G233" s="15" t="s">
        <v>1783</v>
      </c>
      <c r="H233" s="14" t="s">
        <v>1784</v>
      </c>
      <c r="I233" s="14" t="s">
        <v>37</v>
      </c>
      <c r="J233" s="14" t="s">
        <v>1785</v>
      </c>
      <c r="K233" s="16" t="s">
        <v>1786</v>
      </c>
      <c r="L233" s="14" t="s">
        <v>1787</v>
      </c>
      <c r="M233" s="14" t="s">
        <v>1788</v>
      </c>
      <c r="N233" s="11"/>
      <c r="O233" s="11"/>
    </row>
    <row r="234" ht="22.5" customHeight="1">
      <c r="A234" s="11"/>
      <c r="B234" s="12" t="s">
        <v>1789</v>
      </c>
      <c r="C234" s="14" t="s">
        <v>1790</v>
      </c>
      <c r="D234" s="14" t="s">
        <v>1791</v>
      </c>
      <c r="E234" s="14" t="s">
        <v>1792</v>
      </c>
      <c r="F234" s="14" t="s">
        <v>23</v>
      </c>
      <c r="G234" s="15" t="s">
        <v>1793</v>
      </c>
      <c r="H234" s="14" t="s">
        <v>1794</v>
      </c>
      <c r="I234" s="14" t="s">
        <v>26</v>
      </c>
      <c r="J234" s="14" t="s">
        <v>1795</v>
      </c>
      <c r="K234" s="16" t="s">
        <v>1796</v>
      </c>
      <c r="L234" s="17"/>
      <c r="M234" s="17"/>
      <c r="N234" s="11"/>
      <c r="O234" s="11"/>
    </row>
    <row r="235" ht="22.5" customHeight="1">
      <c r="A235" s="11"/>
      <c r="B235" s="12" t="s">
        <v>1797</v>
      </c>
      <c r="C235" s="14" t="s">
        <v>1798</v>
      </c>
      <c r="D235" s="14" t="s">
        <v>1799</v>
      </c>
      <c r="E235" s="14" t="s">
        <v>1800</v>
      </c>
      <c r="F235" s="14" t="s">
        <v>1156</v>
      </c>
      <c r="G235" s="15" t="s">
        <v>1801</v>
      </c>
      <c r="H235" s="14" t="s">
        <v>1802</v>
      </c>
      <c r="I235" s="14" t="s">
        <v>399</v>
      </c>
      <c r="J235" s="14" t="s">
        <v>1803</v>
      </c>
      <c r="K235" s="16" t="s">
        <v>1804</v>
      </c>
      <c r="L235" s="17"/>
      <c r="M235" s="17"/>
      <c r="N235" s="11"/>
      <c r="O235" s="11"/>
    </row>
    <row r="236" ht="22.5" customHeight="1">
      <c r="A236" s="11"/>
      <c r="B236" s="12" t="s">
        <v>1805</v>
      </c>
      <c r="C236" s="14" t="s">
        <v>1806</v>
      </c>
      <c r="D236" s="14" t="s">
        <v>1807</v>
      </c>
      <c r="E236" s="14" t="s">
        <v>1808</v>
      </c>
      <c r="F236" s="14" t="s">
        <v>34</v>
      </c>
      <c r="G236" s="15" t="s">
        <v>1809</v>
      </c>
      <c r="H236" s="14" t="s">
        <v>1810</v>
      </c>
      <c r="I236" s="14" t="s">
        <v>399</v>
      </c>
      <c r="J236" s="14" t="s">
        <v>1811</v>
      </c>
      <c r="K236" s="16" t="s">
        <v>1812</v>
      </c>
      <c r="L236" s="17"/>
      <c r="M236" s="17"/>
      <c r="N236" s="11"/>
      <c r="O236" s="11"/>
    </row>
    <row r="237" ht="22.5" customHeight="1">
      <c r="A237" s="11"/>
      <c r="B237" s="12" t="s">
        <v>1813</v>
      </c>
      <c r="C237" s="14" t="s">
        <v>1814</v>
      </c>
      <c r="D237" s="14" t="s">
        <v>1815</v>
      </c>
      <c r="E237" s="14" t="s">
        <v>1816</v>
      </c>
      <c r="F237" s="14" t="s">
        <v>1817</v>
      </c>
      <c r="G237" s="15" t="s">
        <v>1818</v>
      </c>
      <c r="H237" s="14" t="s">
        <v>1819</v>
      </c>
      <c r="I237" s="14" t="s">
        <v>26</v>
      </c>
      <c r="J237" s="14" t="s">
        <v>1820</v>
      </c>
      <c r="K237" s="16" t="s">
        <v>1821</v>
      </c>
      <c r="L237" s="17"/>
      <c r="M237" s="17"/>
      <c r="N237" s="11"/>
      <c r="O237" s="11"/>
    </row>
    <row r="238" ht="22.5" customHeight="1">
      <c r="A238" s="11"/>
      <c r="B238" s="12" t="s">
        <v>1822</v>
      </c>
      <c r="C238" s="14" t="s">
        <v>1823</v>
      </c>
      <c r="D238" s="14" t="s">
        <v>1824</v>
      </c>
      <c r="E238" s="14" t="s">
        <v>1825</v>
      </c>
      <c r="F238" s="14" t="s">
        <v>62</v>
      </c>
      <c r="G238" s="15" t="s">
        <v>1826</v>
      </c>
      <c r="H238" s="14" t="s">
        <v>1827</v>
      </c>
      <c r="I238" s="14" t="s">
        <v>37</v>
      </c>
      <c r="J238" s="14" t="s">
        <v>1828</v>
      </c>
      <c r="K238" s="16" t="s">
        <v>1829</v>
      </c>
      <c r="L238" s="17"/>
      <c r="M238" s="17"/>
      <c r="N238" s="11"/>
      <c r="O238" s="11"/>
    </row>
    <row r="239" ht="22.5" customHeight="1">
      <c r="A239" s="11"/>
      <c r="B239" s="12" t="s">
        <v>1830</v>
      </c>
      <c r="C239" s="14" t="s">
        <v>1831</v>
      </c>
      <c r="D239" s="14" t="s">
        <v>1832</v>
      </c>
      <c r="E239" s="14" t="s">
        <v>1833</v>
      </c>
      <c r="F239" s="14" t="s">
        <v>23</v>
      </c>
      <c r="G239" s="15" t="s">
        <v>1834</v>
      </c>
      <c r="H239" s="14" t="s">
        <v>1835</v>
      </c>
      <c r="I239" s="14" t="s">
        <v>37</v>
      </c>
      <c r="J239" s="14" t="s">
        <v>1836</v>
      </c>
      <c r="K239" s="16" t="s">
        <v>1837</v>
      </c>
      <c r="L239" s="17"/>
      <c r="M239" s="17"/>
      <c r="N239" s="11"/>
      <c r="O239" s="11"/>
    </row>
    <row r="240" ht="22.5" customHeight="1">
      <c r="A240" s="11"/>
      <c r="B240" s="12" t="s">
        <v>1838</v>
      </c>
      <c r="C240" s="14" t="s">
        <v>1839</v>
      </c>
      <c r="D240" s="14" t="s">
        <v>1840</v>
      </c>
      <c r="E240" s="14" t="s">
        <v>1841</v>
      </c>
      <c r="F240" s="14" t="s">
        <v>62</v>
      </c>
      <c r="G240" s="15" t="s">
        <v>1842</v>
      </c>
      <c r="H240" s="14" t="s">
        <v>1843</v>
      </c>
      <c r="I240" s="14" t="s">
        <v>37</v>
      </c>
      <c r="J240" s="14" t="s">
        <v>1844</v>
      </c>
      <c r="K240" s="16" t="s">
        <v>1845</v>
      </c>
      <c r="L240" s="17"/>
      <c r="M240" s="17"/>
      <c r="N240" s="11"/>
      <c r="O240" s="11"/>
    </row>
    <row r="241" ht="22.5" customHeight="1">
      <c r="A241" s="11"/>
      <c r="B241" s="12" t="s">
        <v>1846</v>
      </c>
      <c r="C241" s="14" t="s">
        <v>1847</v>
      </c>
      <c r="D241" s="14" t="s">
        <v>1815</v>
      </c>
      <c r="E241" s="14" t="s">
        <v>1848</v>
      </c>
      <c r="F241" s="14" t="s">
        <v>23</v>
      </c>
      <c r="G241" s="15" t="s">
        <v>1849</v>
      </c>
      <c r="H241" s="14" t="s">
        <v>1850</v>
      </c>
      <c r="I241" s="14" t="s">
        <v>399</v>
      </c>
      <c r="J241" s="14" t="s">
        <v>1851</v>
      </c>
      <c r="K241" s="16" t="s">
        <v>1852</v>
      </c>
      <c r="L241" s="14">
        <v>0.0</v>
      </c>
      <c r="M241" s="14">
        <v>0.0</v>
      </c>
      <c r="N241" s="11"/>
      <c r="O241" s="11"/>
    </row>
    <row r="242" ht="22.5" customHeight="1">
      <c r="A242" s="11"/>
      <c r="B242" s="12" t="s">
        <v>1853</v>
      </c>
      <c r="C242" s="14" t="s">
        <v>1854</v>
      </c>
      <c r="D242" s="14" t="s">
        <v>1854</v>
      </c>
      <c r="E242" s="14" t="s">
        <v>1855</v>
      </c>
      <c r="F242" s="14" t="s">
        <v>62</v>
      </c>
      <c r="G242" s="15" t="s">
        <v>1856</v>
      </c>
      <c r="H242" s="14" t="s">
        <v>1857</v>
      </c>
      <c r="I242" s="14" t="s">
        <v>26</v>
      </c>
      <c r="J242" s="14" t="s">
        <v>1858</v>
      </c>
      <c r="K242" s="16" t="s">
        <v>1859</v>
      </c>
      <c r="L242" s="14" t="s">
        <v>1860</v>
      </c>
      <c r="M242" s="14" t="s">
        <v>1861</v>
      </c>
      <c r="N242" s="11"/>
      <c r="O242" s="11"/>
    </row>
    <row r="243" ht="22.5" customHeight="1">
      <c r="A243" s="11"/>
      <c r="B243" s="12" t="s">
        <v>1862</v>
      </c>
      <c r="C243" s="14" t="s">
        <v>1863</v>
      </c>
      <c r="D243" s="14" t="s">
        <v>1550</v>
      </c>
      <c r="E243" s="14" t="s">
        <v>1864</v>
      </c>
      <c r="F243" s="14" t="s">
        <v>44</v>
      </c>
      <c r="G243" s="15" t="s">
        <v>1865</v>
      </c>
      <c r="H243" s="14" t="s">
        <v>1866</v>
      </c>
      <c r="I243" s="14" t="s">
        <v>26</v>
      </c>
      <c r="J243" s="14" t="s">
        <v>1867</v>
      </c>
      <c r="K243" s="16" t="s">
        <v>1868</v>
      </c>
      <c r="L243" s="17"/>
      <c r="M243" s="17"/>
      <c r="N243" s="11"/>
      <c r="O243" s="11"/>
    </row>
    <row r="244" ht="22.5" customHeight="1">
      <c r="A244" s="11"/>
      <c r="B244" s="12" t="s">
        <v>1869</v>
      </c>
      <c r="C244" s="14" t="s">
        <v>1870</v>
      </c>
      <c r="D244" s="14" t="s">
        <v>1871</v>
      </c>
      <c r="E244" s="14" t="s">
        <v>1872</v>
      </c>
      <c r="F244" s="14" t="s">
        <v>44</v>
      </c>
      <c r="G244" s="15" t="s">
        <v>1873</v>
      </c>
      <c r="H244" s="14" t="s">
        <v>1874</v>
      </c>
      <c r="I244" s="14" t="s">
        <v>37</v>
      </c>
      <c r="J244" s="14" t="s">
        <v>1875</v>
      </c>
      <c r="K244" s="16" t="s">
        <v>1876</v>
      </c>
      <c r="L244" s="17"/>
      <c r="M244" s="14" t="s">
        <v>1877</v>
      </c>
      <c r="N244" s="11"/>
      <c r="O244" s="11"/>
    </row>
    <row r="245" ht="22.5" customHeight="1">
      <c r="A245" s="11"/>
      <c r="B245" s="12" t="s">
        <v>1878</v>
      </c>
      <c r="C245" s="14" t="s">
        <v>1879</v>
      </c>
      <c r="D245" s="14" t="s">
        <v>1880</v>
      </c>
      <c r="E245" s="14" t="s">
        <v>1881</v>
      </c>
      <c r="F245" s="14" t="s">
        <v>62</v>
      </c>
      <c r="G245" s="15" t="s">
        <v>1882</v>
      </c>
      <c r="H245" s="14" t="s">
        <v>1883</v>
      </c>
      <c r="I245" s="14" t="s">
        <v>37</v>
      </c>
      <c r="J245" s="14" t="s">
        <v>1884</v>
      </c>
      <c r="K245" s="16" t="s">
        <v>1885</v>
      </c>
      <c r="L245" s="17"/>
      <c r="M245" s="17"/>
      <c r="N245" s="11"/>
      <c r="O245" s="11"/>
    </row>
    <row r="246" ht="22.5" customHeight="1">
      <c r="A246" s="11"/>
      <c r="B246" s="12" t="s">
        <v>1886</v>
      </c>
      <c r="C246" s="14" t="s">
        <v>1887</v>
      </c>
      <c r="D246" s="14" t="s">
        <v>1888</v>
      </c>
      <c r="E246" s="14" t="s">
        <v>1889</v>
      </c>
      <c r="F246" s="14" t="s">
        <v>34</v>
      </c>
      <c r="G246" s="15" t="s">
        <v>1890</v>
      </c>
      <c r="H246" s="14" t="s">
        <v>1891</v>
      </c>
      <c r="I246" s="14" t="s">
        <v>399</v>
      </c>
      <c r="J246" s="14" t="s">
        <v>1892</v>
      </c>
      <c r="K246" s="16" t="s">
        <v>1893</v>
      </c>
      <c r="L246" s="17"/>
      <c r="M246" s="17"/>
      <c r="N246" s="11"/>
      <c r="O246" s="11"/>
    </row>
    <row r="247" ht="22.5" customHeight="1">
      <c r="A247" s="11"/>
      <c r="B247" s="12" t="s">
        <v>1894</v>
      </c>
      <c r="C247" s="14" t="s">
        <v>1895</v>
      </c>
      <c r="D247" s="14" t="s">
        <v>1896</v>
      </c>
      <c r="E247" s="14" t="s">
        <v>1897</v>
      </c>
      <c r="F247" s="14" t="s">
        <v>23</v>
      </c>
      <c r="G247" s="15" t="s">
        <v>1898</v>
      </c>
      <c r="H247" s="14" t="s">
        <v>1899</v>
      </c>
      <c r="I247" s="14" t="s">
        <v>37</v>
      </c>
      <c r="J247" s="14" t="s">
        <v>1900</v>
      </c>
      <c r="K247" s="16" t="s">
        <v>1901</v>
      </c>
      <c r="L247" s="17"/>
      <c r="M247" s="17"/>
      <c r="N247" s="11"/>
      <c r="O247" s="11"/>
    </row>
    <row r="248" ht="22.5" customHeight="1">
      <c r="A248" s="11"/>
      <c r="B248" s="12" t="s">
        <v>1902</v>
      </c>
      <c r="C248" s="14" t="s">
        <v>1903</v>
      </c>
      <c r="D248" s="14" t="s">
        <v>1904</v>
      </c>
      <c r="E248" s="14" t="s">
        <v>1905</v>
      </c>
      <c r="F248" s="14" t="s">
        <v>23</v>
      </c>
      <c r="G248" s="15" t="s">
        <v>1906</v>
      </c>
      <c r="H248" s="14" t="s">
        <v>1907</v>
      </c>
      <c r="I248" s="14" t="s">
        <v>37</v>
      </c>
      <c r="J248" s="14" t="s">
        <v>1908</v>
      </c>
      <c r="K248" s="16" t="s">
        <v>1909</v>
      </c>
      <c r="L248" s="17"/>
      <c r="M248" s="17"/>
      <c r="N248" s="11"/>
      <c r="O248" s="11"/>
    </row>
    <row r="249" ht="22.5" customHeight="1">
      <c r="A249" s="11"/>
      <c r="B249" s="12" t="s">
        <v>1910</v>
      </c>
      <c r="C249" s="14" t="s">
        <v>1911</v>
      </c>
      <c r="D249" s="14" t="s">
        <v>1912</v>
      </c>
      <c r="E249" s="14" t="s">
        <v>1913</v>
      </c>
      <c r="F249" s="14" t="s">
        <v>44</v>
      </c>
      <c r="G249" s="15" t="s">
        <v>1914</v>
      </c>
      <c r="H249" s="14" t="s">
        <v>1915</v>
      </c>
      <c r="I249" s="14" t="s">
        <v>37</v>
      </c>
      <c r="J249" s="14" t="s">
        <v>1916</v>
      </c>
      <c r="K249" s="16" t="s">
        <v>1917</v>
      </c>
      <c r="L249" s="17"/>
      <c r="M249" s="17"/>
      <c r="N249" s="11"/>
      <c r="O249" s="11"/>
    </row>
    <row r="250" ht="22.5" customHeight="1">
      <c r="A250" s="11"/>
      <c r="B250" s="12" t="s">
        <v>1918</v>
      </c>
      <c r="C250" s="14" t="s">
        <v>1919</v>
      </c>
      <c r="D250" s="14" t="s">
        <v>1920</v>
      </c>
      <c r="E250" s="14" t="s">
        <v>1921</v>
      </c>
      <c r="F250" s="14" t="s">
        <v>62</v>
      </c>
      <c r="G250" s="15" t="s">
        <v>1922</v>
      </c>
      <c r="H250" s="14" t="s">
        <v>1923</v>
      </c>
      <c r="I250" s="14" t="s">
        <v>37</v>
      </c>
      <c r="J250" s="14" t="s">
        <v>1924</v>
      </c>
      <c r="K250" s="16" t="s">
        <v>1925</v>
      </c>
      <c r="L250" s="17"/>
      <c r="M250" s="17"/>
      <c r="N250" s="11"/>
      <c r="O250" s="11"/>
    </row>
    <row r="251" ht="22.5" customHeight="1">
      <c r="A251" s="11"/>
      <c r="B251" s="12" t="s">
        <v>1926</v>
      </c>
      <c r="C251" s="14" t="s">
        <v>1927</v>
      </c>
      <c r="D251" s="14" t="s">
        <v>1928</v>
      </c>
      <c r="E251" s="14" t="s">
        <v>1929</v>
      </c>
      <c r="F251" s="14" t="s">
        <v>1156</v>
      </c>
      <c r="G251" s="15" t="s">
        <v>1930</v>
      </c>
      <c r="H251" s="14" t="s">
        <v>1931</v>
      </c>
      <c r="I251" s="14" t="s">
        <v>399</v>
      </c>
      <c r="J251" s="14" t="s">
        <v>1932</v>
      </c>
      <c r="K251" s="16" t="s">
        <v>1933</v>
      </c>
      <c r="L251" s="17"/>
      <c r="M251" s="17"/>
      <c r="N251" s="11"/>
      <c r="O251" s="11"/>
    </row>
    <row r="252" ht="22.5" customHeight="1">
      <c r="A252" s="11"/>
      <c r="B252" s="12" t="s">
        <v>1934</v>
      </c>
      <c r="C252" s="14" t="s">
        <v>1935</v>
      </c>
      <c r="D252" s="14" t="s">
        <v>1936</v>
      </c>
      <c r="E252" s="14" t="s">
        <v>1937</v>
      </c>
      <c r="F252" s="14" t="s">
        <v>238</v>
      </c>
      <c r="G252" s="15" t="s">
        <v>1938</v>
      </c>
      <c r="H252" s="14" t="s">
        <v>1939</v>
      </c>
      <c r="I252" s="14" t="s">
        <v>37</v>
      </c>
      <c r="J252" s="14" t="s">
        <v>1940</v>
      </c>
      <c r="K252" s="16" t="s">
        <v>1941</v>
      </c>
      <c r="L252" s="17"/>
      <c r="M252" s="17"/>
      <c r="N252" s="11"/>
      <c r="O252" s="11"/>
    </row>
    <row r="253" ht="22.5" customHeight="1">
      <c r="A253" s="11"/>
      <c r="B253" s="12" t="s">
        <v>1942</v>
      </c>
      <c r="C253" s="14" t="s">
        <v>1943</v>
      </c>
      <c r="D253" s="14" t="s">
        <v>1944</v>
      </c>
      <c r="E253" s="14" t="s">
        <v>1945</v>
      </c>
      <c r="F253" s="14" t="s">
        <v>62</v>
      </c>
      <c r="G253" s="15" t="s">
        <v>1946</v>
      </c>
      <c r="H253" s="14" t="s">
        <v>1947</v>
      </c>
      <c r="I253" s="14" t="s">
        <v>37</v>
      </c>
      <c r="J253" s="14" t="s">
        <v>1948</v>
      </c>
      <c r="K253" s="16" t="s">
        <v>1949</v>
      </c>
      <c r="L253" s="17"/>
      <c r="M253" s="17"/>
      <c r="N253" s="11"/>
      <c r="O253" s="11"/>
    </row>
    <row r="254" ht="22.5" customHeight="1">
      <c r="A254" s="11"/>
      <c r="B254" s="12" t="s">
        <v>1950</v>
      </c>
      <c r="C254" s="14" t="s">
        <v>1951</v>
      </c>
      <c r="D254" s="14" t="s">
        <v>1952</v>
      </c>
      <c r="E254" s="14" t="s">
        <v>1953</v>
      </c>
      <c r="F254" s="14" t="s">
        <v>62</v>
      </c>
      <c r="G254" s="15" t="s">
        <v>1439</v>
      </c>
      <c r="H254" s="14" t="s">
        <v>1440</v>
      </c>
      <c r="I254" s="14" t="s">
        <v>37</v>
      </c>
      <c r="J254" s="14" t="s">
        <v>1954</v>
      </c>
      <c r="K254" s="16" t="s">
        <v>1955</v>
      </c>
      <c r="L254" s="17"/>
      <c r="M254" s="17"/>
      <c r="N254" s="11"/>
      <c r="O254" s="11"/>
    </row>
    <row r="255" ht="22.5" customHeight="1">
      <c r="A255" s="11"/>
      <c r="B255" s="12" t="s">
        <v>1956</v>
      </c>
      <c r="C255" s="14" t="s">
        <v>1957</v>
      </c>
      <c r="D255" s="14" t="s">
        <v>1958</v>
      </c>
      <c r="E255" s="14" t="s">
        <v>1959</v>
      </c>
      <c r="F255" s="14" t="s">
        <v>62</v>
      </c>
      <c r="G255" s="15" t="s">
        <v>1960</v>
      </c>
      <c r="H255" s="14" t="s">
        <v>1961</v>
      </c>
      <c r="I255" s="14" t="s">
        <v>37</v>
      </c>
      <c r="J255" s="14" t="s">
        <v>1962</v>
      </c>
      <c r="K255" s="16" t="s">
        <v>1963</v>
      </c>
      <c r="L255" s="17"/>
      <c r="M255" s="17"/>
      <c r="N255" s="11"/>
      <c r="O255" s="11"/>
    </row>
    <row r="256" ht="22.5" customHeight="1">
      <c r="A256" s="11"/>
      <c r="B256" s="12" t="s">
        <v>1964</v>
      </c>
      <c r="C256" s="14" t="s">
        <v>1965</v>
      </c>
      <c r="D256" s="14" t="s">
        <v>1966</v>
      </c>
      <c r="E256" s="14" t="s">
        <v>1967</v>
      </c>
      <c r="F256" s="14" t="s">
        <v>34</v>
      </c>
      <c r="G256" s="15" t="s">
        <v>1968</v>
      </c>
      <c r="H256" s="14" t="s">
        <v>1969</v>
      </c>
      <c r="I256" s="14" t="s">
        <v>37</v>
      </c>
      <c r="J256" s="14" t="s">
        <v>1970</v>
      </c>
      <c r="K256" s="16" t="s">
        <v>1971</v>
      </c>
      <c r="L256" s="17"/>
      <c r="M256" s="17"/>
      <c r="N256" s="11"/>
      <c r="O256" s="11"/>
    </row>
    <row r="257" ht="22.5" customHeight="1">
      <c r="A257" s="11"/>
      <c r="B257" s="12" t="s">
        <v>1972</v>
      </c>
      <c r="C257" s="14" t="s">
        <v>1973</v>
      </c>
      <c r="D257" s="14" t="s">
        <v>1974</v>
      </c>
      <c r="E257" s="14" t="s">
        <v>1975</v>
      </c>
      <c r="F257" s="14" t="s">
        <v>44</v>
      </c>
      <c r="G257" s="15" t="s">
        <v>1976</v>
      </c>
      <c r="H257" s="14" t="s">
        <v>1977</v>
      </c>
      <c r="I257" s="14" t="s">
        <v>37</v>
      </c>
      <c r="J257" s="14" t="s">
        <v>1978</v>
      </c>
      <c r="K257" s="16" t="s">
        <v>1979</v>
      </c>
      <c r="L257" s="17"/>
      <c r="M257" s="17"/>
      <c r="N257" s="11"/>
      <c r="O257" s="11"/>
    </row>
    <row r="258" ht="22.5" customHeight="1">
      <c r="A258" s="11"/>
      <c r="B258" s="12" t="s">
        <v>1980</v>
      </c>
      <c r="C258" s="14" t="s">
        <v>1981</v>
      </c>
      <c r="D258" s="14" t="s">
        <v>1982</v>
      </c>
      <c r="E258" s="14" t="s">
        <v>1983</v>
      </c>
      <c r="F258" s="14" t="s">
        <v>34</v>
      </c>
      <c r="G258" s="15" t="s">
        <v>1984</v>
      </c>
      <c r="H258" s="14" t="s">
        <v>1985</v>
      </c>
      <c r="I258" s="14" t="s">
        <v>26</v>
      </c>
      <c r="J258" s="14" t="s">
        <v>1986</v>
      </c>
      <c r="K258" s="16" t="s">
        <v>1987</v>
      </c>
      <c r="L258" s="17"/>
      <c r="M258" s="17"/>
      <c r="N258" s="11"/>
      <c r="O258" s="11"/>
    </row>
    <row r="259" ht="22.5" customHeight="1">
      <c r="A259" s="11"/>
      <c r="B259" s="12" t="s">
        <v>1988</v>
      </c>
      <c r="C259" s="14" t="s">
        <v>1989</v>
      </c>
      <c r="D259" s="14" t="s">
        <v>1989</v>
      </c>
      <c r="E259" s="14" t="s">
        <v>1990</v>
      </c>
      <c r="F259" s="14" t="s">
        <v>62</v>
      </c>
      <c r="G259" s="15" t="s">
        <v>1991</v>
      </c>
      <c r="H259" s="14" t="s">
        <v>1992</v>
      </c>
      <c r="I259" s="14" t="s">
        <v>399</v>
      </c>
      <c r="J259" s="14" t="s">
        <v>1993</v>
      </c>
      <c r="K259" s="16" t="s">
        <v>1994</v>
      </c>
      <c r="L259" s="17"/>
      <c r="M259" s="17"/>
      <c r="N259" s="11"/>
      <c r="O259" s="11"/>
    </row>
    <row r="260" ht="22.5" customHeight="1">
      <c r="A260" s="11"/>
      <c r="B260" s="12" t="s">
        <v>1995</v>
      </c>
      <c r="C260" s="14" t="s">
        <v>1996</v>
      </c>
      <c r="D260" s="14" t="s">
        <v>1997</v>
      </c>
      <c r="E260" s="14" t="s">
        <v>1998</v>
      </c>
      <c r="F260" s="14" t="s">
        <v>44</v>
      </c>
      <c r="G260" s="15" t="s">
        <v>1999</v>
      </c>
      <c r="H260" s="14" t="s">
        <v>254</v>
      </c>
      <c r="I260" s="14" t="s">
        <v>37</v>
      </c>
      <c r="J260" s="14" t="s">
        <v>2000</v>
      </c>
      <c r="K260" s="16" t="s">
        <v>2001</v>
      </c>
      <c r="L260" s="17"/>
      <c r="M260" s="17"/>
      <c r="N260" s="11"/>
      <c r="O260" s="11"/>
    </row>
    <row r="261" ht="22.5" customHeight="1">
      <c r="A261" s="11"/>
      <c r="B261" s="12" t="s">
        <v>2002</v>
      </c>
      <c r="C261" s="14" t="s">
        <v>2003</v>
      </c>
      <c r="D261" s="14" t="s">
        <v>2004</v>
      </c>
      <c r="E261" s="14" t="s">
        <v>2005</v>
      </c>
      <c r="F261" s="14" t="s">
        <v>44</v>
      </c>
      <c r="G261" s="15" t="s">
        <v>2006</v>
      </c>
      <c r="H261" s="14" t="s">
        <v>2007</v>
      </c>
      <c r="I261" s="14" t="s">
        <v>399</v>
      </c>
      <c r="J261" s="14" t="s">
        <v>2008</v>
      </c>
      <c r="K261" s="16" t="s">
        <v>2009</v>
      </c>
      <c r="L261" s="17"/>
      <c r="M261" s="17"/>
      <c r="N261" s="11"/>
      <c r="O261" s="11"/>
    </row>
    <row r="262" ht="22.5" customHeight="1">
      <c r="A262" s="11"/>
      <c r="B262" s="12" t="s">
        <v>2010</v>
      </c>
      <c r="C262" s="14" t="s">
        <v>2011</v>
      </c>
      <c r="D262" s="14" t="s">
        <v>2012</v>
      </c>
      <c r="E262" s="14" t="s">
        <v>2013</v>
      </c>
      <c r="F262" s="14" t="s">
        <v>238</v>
      </c>
      <c r="G262" s="15" t="s">
        <v>2014</v>
      </c>
      <c r="H262" s="14" t="s">
        <v>2015</v>
      </c>
      <c r="I262" s="14" t="s">
        <v>37</v>
      </c>
      <c r="J262" s="14" t="s">
        <v>2016</v>
      </c>
      <c r="K262" s="16" t="s">
        <v>2017</v>
      </c>
      <c r="L262" s="17"/>
      <c r="M262" s="17"/>
      <c r="N262" s="11"/>
      <c r="O262" s="11"/>
    </row>
    <row r="263" ht="22.5" customHeight="1">
      <c r="A263" s="11"/>
      <c r="B263" s="12" t="s">
        <v>2018</v>
      </c>
      <c r="C263" s="14" t="s">
        <v>2019</v>
      </c>
      <c r="D263" s="14" t="s">
        <v>2020</v>
      </c>
      <c r="E263" s="14" t="s">
        <v>2021</v>
      </c>
      <c r="F263" s="14" t="s">
        <v>34</v>
      </c>
      <c r="G263" s="15" t="s">
        <v>2022</v>
      </c>
      <c r="H263" s="14" t="s">
        <v>2023</v>
      </c>
      <c r="I263" s="14" t="s">
        <v>37</v>
      </c>
      <c r="J263" s="14" t="s">
        <v>2024</v>
      </c>
      <c r="K263" s="16" t="s">
        <v>2025</v>
      </c>
      <c r="L263" s="17"/>
      <c r="M263" s="17"/>
      <c r="N263" s="11"/>
      <c r="O263" s="11"/>
    </row>
    <row r="264" ht="22.5" customHeight="1">
      <c r="A264" s="11"/>
      <c r="B264" s="12" t="s">
        <v>2026</v>
      </c>
      <c r="C264" s="14" t="s">
        <v>2027</v>
      </c>
      <c r="D264" s="14" t="s">
        <v>2028</v>
      </c>
      <c r="E264" s="14" t="s">
        <v>2029</v>
      </c>
      <c r="F264" s="14" t="s">
        <v>34</v>
      </c>
      <c r="G264" s="15" t="s">
        <v>2030</v>
      </c>
      <c r="H264" s="14" t="s">
        <v>2031</v>
      </c>
      <c r="I264" s="14" t="s">
        <v>26</v>
      </c>
      <c r="J264" s="14" t="s">
        <v>2028</v>
      </c>
      <c r="K264" s="16" t="s">
        <v>2032</v>
      </c>
      <c r="L264" s="17"/>
      <c r="M264" s="17"/>
      <c r="N264" s="11"/>
      <c r="O264" s="11"/>
    </row>
    <row r="265" ht="22.5" customHeight="1">
      <c r="A265" s="11"/>
      <c r="B265" s="12" t="s">
        <v>2033</v>
      </c>
      <c r="C265" s="14" t="s">
        <v>2034</v>
      </c>
      <c r="D265" s="14" t="s">
        <v>2035</v>
      </c>
      <c r="E265" s="14" t="s">
        <v>2036</v>
      </c>
      <c r="F265" s="14" t="s">
        <v>44</v>
      </c>
      <c r="G265" s="15" t="s">
        <v>2037</v>
      </c>
      <c r="H265" s="14" t="s">
        <v>2038</v>
      </c>
      <c r="I265" s="14" t="s">
        <v>399</v>
      </c>
      <c r="J265" s="14" t="s">
        <v>2039</v>
      </c>
      <c r="K265" s="16" t="s">
        <v>2040</v>
      </c>
      <c r="L265" s="17"/>
      <c r="M265" s="17"/>
      <c r="N265" s="11"/>
      <c r="O265" s="11"/>
    </row>
    <row r="266" ht="22.5" customHeight="1">
      <c r="A266" s="11"/>
      <c r="B266" s="12" t="s">
        <v>1435</v>
      </c>
      <c r="C266" s="14" t="s">
        <v>1436</v>
      </c>
      <c r="D266" s="14" t="s">
        <v>2041</v>
      </c>
      <c r="E266" s="14" t="s">
        <v>2042</v>
      </c>
      <c r="F266" s="14" t="s">
        <v>23</v>
      </c>
      <c r="G266" s="15" t="s">
        <v>1439</v>
      </c>
      <c r="H266" s="14" t="s">
        <v>1440</v>
      </c>
      <c r="I266" s="14" t="s">
        <v>37</v>
      </c>
      <c r="J266" s="14" t="s">
        <v>2043</v>
      </c>
      <c r="K266" s="16" t="s">
        <v>1955</v>
      </c>
      <c r="L266" s="17"/>
      <c r="M266" s="17"/>
      <c r="N266" s="11"/>
      <c r="O266" s="11"/>
    </row>
    <row r="267" ht="22.5" customHeight="1">
      <c r="A267" s="11"/>
      <c r="B267" s="12" t="s">
        <v>1789</v>
      </c>
      <c r="C267" s="14" t="s">
        <v>1790</v>
      </c>
      <c r="D267" s="14" t="s">
        <v>2044</v>
      </c>
      <c r="E267" s="14" t="s">
        <v>2045</v>
      </c>
      <c r="F267" s="14" t="s">
        <v>23</v>
      </c>
      <c r="G267" s="15" t="s">
        <v>2046</v>
      </c>
      <c r="H267" s="14" t="s">
        <v>1794</v>
      </c>
      <c r="I267" s="14" t="s">
        <v>26</v>
      </c>
      <c r="J267" s="14" t="s">
        <v>1795</v>
      </c>
      <c r="K267" s="16" t="s">
        <v>1796</v>
      </c>
      <c r="L267" s="17"/>
      <c r="M267" s="17"/>
      <c r="N267" s="11"/>
      <c r="O267" s="11"/>
    </row>
    <row r="268" ht="22.5" customHeight="1">
      <c r="A268" s="11"/>
      <c r="B268" s="12" t="s">
        <v>2047</v>
      </c>
      <c r="C268" s="14" t="s">
        <v>2048</v>
      </c>
      <c r="D268" s="14" t="s">
        <v>2049</v>
      </c>
      <c r="E268" s="14" t="s">
        <v>2050</v>
      </c>
      <c r="F268" s="14" t="s">
        <v>34</v>
      </c>
      <c r="G268" s="15" t="s">
        <v>2051</v>
      </c>
      <c r="H268" s="14" t="s">
        <v>2052</v>
      </c>
      <c r="I268" s="14" t="s">
        <v>399</v>
      </c>
      <c r="J268" s="14" t="s">
        <v>2053</v>
      </c>
      <c r="K268" s="16" t="s">
        <v>2054</v>
      </c>
      <c r="L268" s="17"/>
      <c r="M268" s="17"/>
      <c r="N268" s="11"/>
      <c r="O268" s="11"/>
    </row>
    <row r="269" ht="22.5" customHeight="1">
      <c r="A269" s="11"/>
      <c r="B269" s="12" t="s">
        <v>2055</v>
      </c>
      <c r="C269" s="14" t="s">
        <v>2056</v>
      </c>
      <c r="D269" s="14" t="s">
        <v>2057</v>
      </c>
      <c r="E269" s="14" t="s">
        <v>2058</v>
      </c>
      <c r="F269" s="14" t="s">
        <v>44</v>
      </c>
      <c r="G269" s="15" t="s">
        <v>2059</v>
      </c>
      <c r="H269" s="14" t="s">
        <v>2060</v>
      </c>
      <c r="I269" s="14" t="s">
        <v>37</v>
      </c>
      <c r="J269" s="14" t="s">
        <v>2061</v>
      </c>
      <c r="K269" s="16" t="s">
        <v>2062</v>
      </c>
      <c r="L269" s="17"/>
      <c r="M269" s="17"/>
      <c r="N269" s="11"/>
      <c r="O269" s="11"/>
    </row>
    <row r="270" ht="22.5" customHeight="1">
      <c r="A270" s="11"/>
      <c r="B270" s="12" t="s">
        <v>2063</v>
      </c>
      <c r="C270" s="14" t="s">
        <v>2064</v>
      </c>
      <c r="D270" s="14" t="s">
        <v>2065</v>
      </c>
      <c r="E270" s="14" t="s">
        <v>2066</v>
      </c>
      <c r="F270" s="14" t="s">
        <v>115</v>
      </c>
      <c r="G270" s="15" t="s">
        <v>2067</v>
      </c>
      <c r="H270" s="14" t="s">
        <v>2068</v>
      </c>
      <c r="I270" s="14" t="s">
        <v>26</v>
      </c>
      <c r="J270" s="14" t="s">
        <v>2069</v>
      </c>
      <c r="K270" s="16" t="s">
        <v>2070</v>
      </c>
      <c r="L270" s="17"/>
      <c r="M270" s="17"/>
      <c r="N270" s="11"/>
      <c r="O270" s="11"/>
    </row>
    <row r="271" ht="22.5" customHeight="1">
      <c r="A271" s="11"/>
      <c r="B271" s="12" t="s">
        <v>2071</v>
      </c>
      <c r="C271" s="14" t="s">
        <v>2072</v>
      </c>
      <c r="D271" s="14" t="s">
        <v>2073</v>
      </c>
      <c r="E271" s="14" t="s">
        <v>2074</v>
      </c>
      <c r="F271" s="14" t="s">
        <v>62</v>
      </c>
      <c r="G271" s="15" t="s">
        <v>2075</v>
      </c>
      <c r="H271" s="14" t="s">
        <v>2076</v>
      </c>
      <c r="I271" s="14" t="s">
        <v>37</v>
      </c>
      <c r="J271" s="14" t="s">
        <v>2077</v>
      </c>
      <c r="K271" s="16" t="s">
        <v>2078</v>
      </c>
      <c r="L271" s="17"/>
      <c r="M271" s="17"/>
      <c r="N271" s="11"/>
      <c r="O271" s="11"/>
    </row>
    <row r="272" ht="22.5" customHeight="1">
      <c r="A272" s="11"/>
      <c r="B272" s="12" t="s">
        <v>2079</v>
      </c>
      <c r="C272" s="14" t="s">
        <v>2080</v>
      </c>
      <c r="D272" s="14" t="s">
        <v>2081</v>
      </c>
      <c r="E272" s="14" t="s">
        <v>2082</v>
      </c>
      <c r="F272" s="14" t="s">
        <v>23</v>
      </c>
      <c r="G272" s="15" t="s">
        <v>2083</v>
      </c>
      <c r="H272" s="14" t="s">
        <v>2084</v>
      </c>
      <c r="I272" s="14" t="s">
        <v>37</v>
      </c>
      <c r="J272" s="14" t="s">
        <v>2085</v>
      </c>
      <c r="K272" s="16" t="s">
        <v>2086</v>
      </c>
      <c r="L272" s="17"/>
      <c r="M272" s="17"/>
      <c r="N272" s="11"/>
      <c r="O272" s="11"/>
    </row>
    <row r="273" ht="22.5" customHeight="1">
      <c r="A273" s="11"/>
      <c r="B273" s="12" t="s">
        <v>2087</v>
      </c>
      <c r="C273" s="14" t="s">
        <v>2088</v>
      </c>
      <c r="D273" s="14" t="s">
        <v>2089</v>
      </c>
      <c r="E273" s="14" t="s">
        <v>2090</v>
      </c>
      <c r="F273" s="14" t="s">
        <v>23</v>
      </c>
      <c r="G273" s="15" t="s">
        <v>2091</v>
      </c>
      <c r="H273" s="14" t="s">
        <v>2092</v>
      </c>
      <c r="I273" s="14" t="s">
        <v>399</v>
      </c>
      <c r="J273" s="14" t="s">
        <v>2093</v>
      </c>
      <c r="K273" s="16" t="s">
        <v>2094</v>
      </c>
      <c r="L273" s="17"/>
      <c r="M273" s="17"/>
      <c r="N273" s="11"/>
      <c r="O273" s="11"/>
    </row>
    <row r="274" ht="22.5" customHeight="1">
      <c r="A274" s="11"/>
      <c r="B274" s="12" t="s">
        <v>2095</v>
      </c>
      <c r="C274" s="14" t="s">
        <v>2096</v>
      </c>
      <c r="D274" s="14" t="s">
        <v>2097</v>
      </c>
      <c r="E274" s="14" t="s">
        <v>2098</v>
      </c>
      <c r="F274" s="14" t="s">
        <v>44</v>
      </c>
      <c r="G274" s="15" t="s">
        <v>2099</v>
      </c>
      <c r="H274" s="14" t="s">
        <v>2100</v>
      </c>
      <c r="I274" s="14" t="s">
        <v>399</v>
      </c>
      <c r="J274" s="14" t="s">
        <v>2101</v>
      </c>
      <c r="K274" s="16" t="s">
        <v>2102</v>
      </c>
      <c r="L274" s="17"/>
      <c r="M274" s="17"/>
      <c r="N274" s="11"/>
      <c r="O274" s="11"/>
    </row>
    <row r="275" ht="22.5" customHeight="1">
      <c r="A275" s="11"/>
      <c r="B275" s="12" t="s">
        <v>2103</v>
      </c>
      <c r="C275" s="14" t="s">
        <v>2104</v>
      </c>
      <c r="D275" s="14" t="s">
        <v>2105</v>
      </c>
      <c r="E275" s="14" t="s">
        <v>1864</v>
      </c>
      <c r="F275" s="14" t="s">
        <v>44</v>
      </c>
      <c r="G275" s="15" t="s">
        <v>2106</v>
      </c>
      <c r="H275" s="14" t="s">
        <v>2107</v>
      </c>
      <c r="I275" s="14" t="s">
        <v>26</v>
      </c>
      <c r="J275" s="14" t="s">
        <v>2108</v>
      </c>
      <c r="K275" s="16" t="s">
        <v>2109</v>
      </c>
      <c r="L275" s="17"/>
      <c r="M275" s="17"/>
      <c r="N275" s="11"/>
      <c r="O275" s="11"/>
    </row>
    <row r="276" ht="22.5" customHeight="1">
      <c r="A276" s="11"/>
      <c r="B276" s="12" t="s">
        <v>2110</v>
      </c>
      <c r="C276" s="14" t="s">
        <v>2111</v>
      </c>
      <c r="D276" s="14" t="s">
        <v>2111</v>
      </c>
      <c r="E276" s="14" t="s">
        <v>2112</v>
      </c>
      <c r="F276" s="14" t="s">
        <v>23</v>
      </c>
      <c r="G276" s="15" t="s">
        <v>2113</v>
      </c>
      <c r="H276" s="14" t="s">
        <v>2114</v>
      </c>
      <c r="I276" s="14" t="s">
        <v>37</v>
      </c>
      <c r="J276" s="14" t="s">
        <v>2115</v>
      </c>
      <c r="K276" s="16" t="s">
        <v>2116</v>
      </c>
      <c r="L276" s="17"/>
      <c r="M276" s="17"/>
      <c r="N276" s="11"/>
      <c r="O276" s="11"/>
    </row>
    <row r="277" ht="22.5" customHeight="1">
      <c r="A277" s="11"/>
      <c r="B277" s="12" t="s">
        <v>2117</v>
      </c>
      <c r="C277" s="14" t="s">
        <v>2118</v>
      </c>
      <c r="D277" s="14" t="s">
        <v>2119</v>
      </c>
      <c r="E277" s="14" t="s">
        <v>2120</v>
      </c>
      <c r="F277" s="14" t="s">
        <v>34</v>
      </c>
      <c r="G277" s="15" t="s">
        <v>2121</v>
      </c>
      <c r="H277" s="14" t="s">
        <v>2122</v>
      </c>
      <c r="I277" s="14" t="s">
        <v>37</v>
      </c>
      <c r="J277" s="14" t="s">
        <v>2123</v>
      </c>
      <c r="K277" s="16" t="s">
        <v>2124</v>
      </c>
      <c r="L277" s="17"/>
      <c r="M277" s="17"/>
      <c r="N277" s="11"/>
      <c r="O277" s="11"/>
    </row>
    <row r="278" ht="22.5" customHeight="1">
      <c r="A278" s="11"/>
      <c r="B278" s="12" t="s">
        <v>2125</v>
      </c>
      <c r="C278" s="14" t="s">
        <v>2126</v>
      </c>
      <c r="D278" s="14" t="s">
        <v>2127</v>
      </c>
      <c r="E278" s="14" t="s">
        <v>2128</v>
      </c>
      <c r="F278" s="14" t="s">
        <v>966</v>
      </c>
      <c r="G278" s="15" t="s">
        <v>2129</v>
      </c>
      <c r="H278" s="14" t="s">
        <v>2130</v>
      </c>
      <c r="I278" s="14" t="s">
        <v>37</v>
      </c>
      <c r="J278" s="14" t="s">
        <v>2131</v>
      </c>
      <c r="K278" s="16" t="s">
        <v>2132</v>
      </c>
      <c r="L278" s="17"/>
      <c r="M278" s="17"/>
      <c r="N278" s="11"/>
      <c r="O278" s="11"/>
    </row>
    <row r="279" ht="22.5" customHeight="1">
      <c r="A279" s="11"/>
      <c r="B279" s="12" t="s">
        <v>2133</v>
      </c>
      <c r="C279" s="14" t="s">
        <v>2134</v>
      </c>
      <c r="D279" s="14" t="s">
        <v>2135</v>
      </c>
      <c r="E279" s="14" t="s">
        <v>2136</v>
      </c>
      <c r="F279" s="14" t="s">
        <v>115</v>
      </c>
      <c r="G279" s="15" t="s">
        <v>2137</v>
      </c>
      <c r="H279" s="14" t="s">
        <v>2138</v>
      </c>
      <c r="I279" s="14" t="s">
        <v>37</v>
      </c>
      <c r="J279" s="14" t="s">
        <v>2139</v>
      </c>
      <c r="K279" s="16" t="s">
        <v>2140</v>
      </c>
      <c r="L279" s="17"/>
      <c r="M279" s="17"/>
      <c r="N279" s="11"/>
      <c r="O279" s="11"/>
    </row>
    <row r="280" ht="22.5" customHeight="1">
      <c r="A280" s="11"/>
      <c r="B280" s="12" t="s">
        <v>2141</v>
      </c>
      <c r="C280" s="14" t="s">
        <v>2142</v>
      </c>
      <c r="D280" s="14" t="s">
        <v>2143</v>
      </c>
      <c r="E280" s="14" t="s">
        <v>2144</v>
      </c>
      <c r="F280" s="14" t="s">
        <v>34</v>
      </c>
      <c r="G280" s="15" t="s">
        <v>2145</v>
      </c>
      <c r="H280" s="14" t="s">
        <v>2146</v>
      </c>
      <c r="I280" s="14" t="s">
        <v>399</v>
      </c>
      <c r="J280" s="14" t="s">
        <v>2147</v>
      </c>
      <c r="K280" s="16" t="s">
        <v>2148</v>
      </c>
      <c r="L280" s="17"/>
      <c r="M280" s="17"/>
      <c r="N280" s="11"/>
      <c r="O280" s="11"/>
    </row>
    <row r="281" ht="22.5" customHeight="1">
      <c r="A281" s="11"/>
      <c r="B281" s="12" t="s">
        <v>2149</v>
      </c>
      <c r="C281" s="14" t="s">
        <v>2150</v>
      </c>
      <c r="D281" s="14" t="s">
        <v>2151</v>
      </c>
      <c r="E281" s="14" t="s">
        <v>2152</v>
      </c>
      <c r="F281" s="14" t="s">
        <v>62</v>
      </c>
      <c r="G281" s="15" t="s">
        <v>2153</v>
      </c>
      <c r="H281" s="14" t="s">
        <v>2154</v>
      </c>
      <c r="I281" s="14" t="s">
        <v>37</v>
      </c>
      <c r="J281" s="14" t="s">
        <v>2155</v>
      </c>
      <c r="K281" s="16" t="s">
        <v>2156</v>
      </c>
      <c r="L281" s="17"/>
      <c r="M281" s="17"/>
      <c r="N281" s="11"/>
      <c r="O281" s="11"/>
    </row>
    <row r="282" ht="22.5" customHeight="1">
      <c r="A282" s="11"/>
      <c r="B282" s="12" t="s">
        <v>2157</v>
      </c>
      <c r="C282" s="14" t="s">
        <v>2158</v>
      </c>
      <c r="D282" s="14" t="s">
        <v>2159</v>
      </c>
      <c r="E282" s="14" t="s">
        <v>2160</v>
      </c>
      <c r="F282" s="14" t="s">
        <v>44</v>
      </c>
      <c r="G282" s="15" t="s">
        <v>2161</v>
      </c>
      <c r="H282" s="14" t="s">
        <v>2162</v>
      </c>
      <c r="I282" s="14" t="s">
        <v>26</v>
      </c>
      <c r="J282" s="14" t="s">
        <v>2163</v>
      </c>
      <c r="K282" s="16" t="s">
        <v>2164</v>
      </c>
      <c r="L282" s="17"/>
      <c r="M282" s="17"/>
      <c r="N282" s="11"/>
      <c r="O282" s="11"/>
    </row>
    <row r="283" ht="22.5" customHeight="1">
      <c r="A283" s="11"/>
      <c r="B283" s="12" t="s">
        <v>2165</v>
      </c>
      <c r="C283" s="14" t="s">
        <v>2166</v>
      </c>
      <c r="D283" s="14" t="s">
        <v>2167</v>
      </c>
      <c r="E283" s="14" t="s">
        <v>294</v>
      </c>
      <c r="F283" s="14" t="s">
        <v>34</v>
      </c>
      <c r="G283" s="15" t="s">
        <v>2168</v>
      </c>
      <c r="H283" s="14" t="s">
        <v>2169</v>
      </c>
      <c r="I283" s="14" t="s">
        <v>37</v>
      </c>
      <c r="J283" s="14" t="s">
        <v>2170</v>
      </c>
      <c r="K283" s="16" t="s">
        <v>2171</v>
      </c>
      <c r="L283" s="17"/>
      <c r="M283" s="14" t="s">
        <v>2172</v>
      </c>
      <c r="N283" s="11"/>
      <c r="O283" s="11"/>
    </row>
    <row r="284" ht="22.5" customHeight="1">
      <c r="A284" s="11"/>
      <c r="B284" s="12" t="s">
        <v>2173</v>
      </c>
      <c r="C284" s="14" t="s">
        <v>2174</v>
      </c>
      <c r="D284" s="14" t="s">
        <v>2175</v>
      </c>
      <c r="E284" s="14" t="s">
        <v>2176</v>
      </c>
      <c r="F284" s="14" t="s">
        <v>44</v>
      </c>
      <c r="G284" s="15" t="s">
        <v>2177</v>
      </c>
      <c r="H284" s="14" t="s">
        <v>2178</v>
      </c>
      <c r="I284" s="14" t="s">
        <v>399</v>
      </c>
      <c r="J284" s="14" t="s">
        <v>2179</v>
      </c>
      <c r="K284" s="16" t="s">
        <v>2180</v>
      </c>
      <c r="L284" s="17"/>
      <c r="M284" s="17"/>
      <c r="N284" s="11"/>
      <c r="O284" s="11"/>
    </row>
    <row r="285" ht="22.5" customHeight="1">
      <c r="A285" s="11"/>
      <c r="B285" s="12" t="s">
        <v>2181</v>
      </c>
      <c r="C285" s="14" t="s">
        <v>2182</v>
      </c>
      <c r="D285" s="14" t="s">
        <v>2183</v>
      </c>
      <c r="E285" s="14" t="s">
        <v>2184</v>
      </c>
      <c r="F285" s="14" t="s">
        <v>44</v>
      </c>
      <c r="G285" s="15" t="s">
        <v>2185</v>
      </c>
      <c r="H285" s="14" t="s">
        <v>2186</v>
      </c>
      <c r="I285" s="14" t="s">
        <v>26</v>
      </c>
      <c r="J285" s="14" t="s">
        <v>2187</v>
      </c>
      <c r="K285" s="16" t="s">
        <v>2188</v>
      </c>
      <c r="L285" s="17"/>
      <c r="M285" s="17"/>
      <c r="N285" s="11"/>
      <c r="O285" s="11"/>
    </row>
    <row r="286" ht="22.5" customHeight="1">
      <c r="A286" s="11"/>
      <c r="B286" s="12" t="s">
        <v>2189</v>
      </c>
      <c r="C286" s="14" t="s">
        <v>2190</v>
      </c>
      <c r="D286" s="14" t="s">
        <v>2191</v>
      </c>
      <c r="E286" s="14" t="s">
        <v>2192</v>
      </c>
      <c r="F286" s="14" t="s">
        <v>1156</v>
      </c>
      <c r="G286" s="15" t="s">
        <v>2193</v>
      </c>
      <c r="H286" s="14" t="s">
        <v>2194</v>
      </c>
      <c r="I286" s="14" t="s">
        <v>399</v>
      </c>
      <c r="J286" s="14" t="s">
        <v>2195</v>
      </c>
      <c r="K286" s="16" t="s">
        <v>2196</v>
      </c>
      <c r="L286" s="17"/>
      <c r="M286" s="17"/>
      <c r="N286" s="11"/>
      <c r="O286" s="11"/>
    </row>
    <row r="287" ht="22.5" customHeight="1">
      <c r="A287" s="11"/>
      <c r="B287" s="12" t="s">
        <v>2197</v>
      </c>
      <c r="C287" s="14" t="s">
        <v>2198</v>
      </c>
      <c r="D287" s="14" t="s">
        <v>2199</v>
      </c>
      <c r="E287" s="14" t="s">
        <v>2200</v>
      </c>
      <c r="F287" s="14" t="s">
        <v>1156</v>
      </c>
      <c r="G287" s="15" t="s">
        <v>2201</v>
      </c>
      <c r="H287" s="14" t="s">
        <v>2202</v>
      </c>
      <c r="I287" s="14" t="s">
        <v>399</v>
      </c>
      <c r="J287" s="14" t="s">
        <v>2203</v>
      </c>
      <c r="K287" s="16" t="s">
        <v>2204</v>
      </c>
      <c r="L287" s="17"/>
      <c r="M287" s="17"/>
      <c r="N287" s="11"/>
      <c r="O287" s="11"/>
    </row>
    <row r="288" ht="22.5" customHeight="1">
      <c r="A288" s="11"/>
      <c r="B288" s="12" t="s">
        <v>2205</v>
      </c>
      <c r="C288" s="14" t="s">
        <v>2206</v>
      </c>
      <c r="D288" s="14" t="s">
        <v>2207</v>
      </c>
      <c r="E288" s="14" t="s">
        <v>2208</v>
      </c>
      <c r="F288" s="14" t="s">
        <v>1156</v>
      </c>
      <c r="G288" s="15" t="s">
        <v>2209</v>
      </c>
      <c r="H288" s="14" t="s">
        <v>2210</v>
      </c>
      <c r="I288" s="14" t="s">
        <v>399</v>
      </c>
      <c r="J288" s="14" t="s">
        <v>2211</v>
      </c>
      <c r="K288" s="16" t="s">
        <v>2212</v>
      </c>
      <c r="L288" s="17"/>
      <c r="M288" s="17"/>
      <c r="N288" s="11"/>
      <c r="O288" s="11"/>
    </row>
    <row r="289" ht="22.5" customHeight="1">
      <c r="A289" s="11"/>
      <c r="B289" s="12" t="s">
        <v>2213</v>
      </c>
      <c r="C289" s="14" t="s">
        <v>2214</v>
      </c>
      <c r="D289" s="14" t="s">
        <v>2215</v>
      </c>
      <c r="E289" s="14" t="s">
        <v>2216</v>
      </c>
      <c r="F289" s="14" t="s">
        <v>1156</v>
      </c>
      <c r="G289" s="15" t="s">
        <v>2217</v>
      </c>
      <c r="H289" s="14" t="s">
        <v>2218</v>
      </c>
      <c r="I289" s="14" t="s">
        <v>399</v>
      </c>
      <c r="J289" s="14" t="s">
        <v>2219</v>
      </c>
      <c r="K289" s="16" t="s">
        <v>2220</v>
      </c>
      <c r="L289" s="17"/>
      <c r="M289" s="17"/>
      <c r="N289" s="11"/>
      <c r="O289" s="11"/>
    </row>
    <row r="290" ht="22.5" customHeight="1">
      <c r="A290" s="11"/>
      <c r="B290" s="12" t="s">
        <v>2221</v>
      </c>
      <c r="C290" s="14" t="s">
        <v>2222</v>
      </c>
      <c r="D290" s="14" t="s">
        <v>2223</v>
      </c>
      <c r="E290" s="14" t="s">
        <v>2224</v>
      </c>
      <c r="F290" s="14" t="s">
        <v>53</v>
      </c>
      <c r="G290" s="15" t="s">
        <v>2225</v>
      </c>
      <c r="H290" s="14" t="s">
        <v>2226</v>
      </c>
      <c r="I290" s="14" t="s">
        <v>399</v>
      </c>
      <c r="J290" s="14" t="s">
        <v>2227</v>
      </c>
      <c r="K290" s="16" t="s">
        <v>2228</v>
      </c>
      <c r="L290" s="17"/>
      <c r="M290" s="17"/>
      <c r="N290" s="11"/>
      <c r="O290" s="11"/>
    </row>
    <row r="291" ht="22.5" customHeight="1">
      <c r="A291" s="11"/>
      <c r="B291" s="12" t="s">
        <v>2229</v>
      </c>
      <c r="C291" s="14" t="s">
        <v>2230</v>
      </c>
      <c r="D291" s="14" t="s">
        <v>2231</v>
      </c>
      <c r="E291" s="14" t="s">
        <v>2232</v>
      </c>
      <c r="F291" s="14" t="s">
        <v>53</v>
      </c>
      <c r="G291" s="15" t="s">
        <v>2233</v>
      </c>
      <c r="H291" s="14" t="s">
        <v>2234</v>
      </c>
      <c r="I291" s="14" t="s">
        <v>399</v>
      </c>
      <c r="J291" s="14" t="s">
        <v>2235</v>
      </c>
      <c r="K291" s="16" t="s">
        <v>2236</v>
      </c>
      <c r="L291" s="17"/>
      <c r="M291" s="17"/>
      <c r="N291" s="11"/>
      <c r="O291" s="11"/>
    </row>
    <row r="292" ht="22.5" customHeight="1">
      <c r="A292" s="11"/>
      <c r="B292" s="12" t="s">
        <v>2237</v>
      </c>
      <c r="C292" s="14" t="s">
        <v>2238</v>
      </c>
      <c r="D292" s="14" t="s">
        <v>2239</v>
      </c>
      <c r="E292" s="14" t="s">
        <v>2240</v>
      </c>
      <c r="F292" s="14" t="s">
        <v>53</v>
      </c>
      <c r="G292" s="15" t="s">
        <v>2241</v>
      </c>
      <c r="H292" s="14" t="s">
        <v>2242</v>
      </c>
      <c r="I292" s="14" t="s">
        <v>399</v>
      </c>
      <c r="J292" s="14" t="s">
        <v>2243</v>
      </c>
      <c r="K292" s="16" t="s">
        <v>2244</v>
      </c>
      <c r="L292" s="17"/>
      <c r="M292" s="17"/>
      <c r="N292" s="11"/>
      <c r="O292" s="11"/>
    </row>
    <row r="293" ht="22.5" customHeight="1">
      <c r="A293" s="11"/>
      <c r="B293" s="12" t="s">
        <v>2245</v>
      </c>
      <c r="C293" s="14" t="s">
        <v>2246</v>
      </c>
      <c r="D293" s="14" t="s">
        <v>2247</v>
      </c>
      <c r="E293" s="14" t="s">
        <v>2248</v>
      </c>
      <c r="F293" s="14" t="s">
        <v>53</v>
      </c>
      <c r="G293" s="15" t="s">
        <v>2249</v>
      </c>
      <c r="H293" s="14" t="s">
        <v>2250</v>
      </c>
      <c r="I293" s="14" t="s">
        <v>399</v>
      </c>
      <c r="J293" s="14" t="s">
        <v>2251</v>
      </c>
      <c r="K293" s="16" t="s">
        <v>2252</v>
      </c>
      <c r="L293" s="17"/>
      <c r="M293" s="17"/>
      <c r="N293" s="11"/>
      <c r="O293" s="11"/>
    </row>
    <row r="294" ht="22.5" customHeight="1">
      <c r="A294" s="11"/>
      <c r="B294" s="12" t="s">
        <v>2253</v>
      </c>
      <c r="C294" s="14" t="s">
        <v>2254</v>
      </c>
      <c r="D294" s="14" t="s">
        <v>2255</v>
      </c>
      <c r="E294" s="14" t="s">
        <v>2256</v>
      </c>
      <c r="F294" s="14" t="s">
        <v>53</v>
      </c>
      <c r="G294" s="15" t="s">
        <v>2257</v>
      </c>
      <c r="H294" s="14" t="s">
        <v>2258</v>
      </c>
      <c r="I294" s="14" t="s">
        <v>399</v>
      </c>
      <c r="J294" s="14" t="s">
        <v>2259</v>
      </c>
      <c r="K294" s="16" t="s">
        <v>2260</v>
      </c>
      <c r="L294" s="17"/>
      <c r="M294" s="17"/>
      <c r="N294" s="11"/>
      <c r="O294" s="11"/>
    </row>
    <row r="295" ht="22.5" customHeight="1">
      <c r="A295" s="11"/>
      <c r="B295" s="12" t="s">
        <v>2261</v>
      </c>
      <c r="C295" s="14" t="s">
        <v>2262</v>
      </c>
      <c r="D295" s="14" t="s">
        <v>2263</v>
      </c>
      <c r="E295" s="14" t="s">
        <v>2264</v>
      </c>
      <c r="F295" s="14" t="s">
        <v>62</v>
      </c>
      <c r="G295" s="15" t="s">
        <v>2265</v>
      </c>
      <c r="H295" s="14" t="s">
        <v>2266</v>
      </c>
      <c r="I295" s="14" t="s">
        <v>399</v>
      </c>
      <c r="J295" s="14" t="s">
        <v>2267</v>
      </c>
      <c r="K295" s="16" t="s">
        <v>2268</v>
      </c>
      <c r="L295" s="17"/>
      <c r="M295" s="17"/>
      <c r="N295" s="11"/>
      <c r="O295" s="11"/>
    </row>
    <row r="296" ht="22.5" customHeight="1">
      <c r="A296" s="11"/>
      <c r="B296" s="12" t="s">
        <v>2269</v>
      </c>
      <c r="C296" s="14" t="s">
        <v>2270</v>
      </c>
      <c r="D296" s="14" t="s">
        <v>2271</v>
      </c>
      <c r="E296" s="14" t="s">
        <v>2264</v>
      </c>
      <c r="F296" s="14" t="s">
        <v>62</v>
      </c>
      <c r="G296" s="15" t="s">
        <v>2272</v>
      </c>
      <c r="H296" s="14" t="s">
        <v>2273</v>
      </c>
      <c r="I296" s="14" t="s">
        <v>399</v>
      </c>
      <c r="J296" s="14" t="s">
        <v>2274</v>
      </c>
      <c r="K296" s="16" t="s">
        <v>2275</v>
      </c>
      <c r="L296" s="17"/>
      <c r="M296" s="17"/>
      <c r="N296" s="11"/>
      <c r="O296" s="11"/>
    </row>
    <row r="297" ht="22.5" customHeight="1">
      <c r="A297" s="11"/>
      <c r="B297" s="12" t="s">
        <v>2276</v>
      </c>
      <c r="C297" s="14" t="s">
        <v>2277</v>
      </c>
      <c r="D297" s="14" t="s">
        <v>2278</v>
      </c>
      <c r="E297" s="14" t="s">
        <v>2264</v>
      </c>
      <c r="F297" s="14" t="s">
        <v>62</v>
      </c>
      <c r="G297" s="15" t="s">
        <v>2279</v>
      </c>
      <c r="H297" s="14" t="s">
        <v>2280</v>
      </c>
      <c r="I297" s="14" t="s">
        <v>399</v>
      </c>
      <c r="J297" s="14" t="s">
        <v>2281</v>
      </c>
      <c r="K297" s="16" t="s">
        <v>2282</v>
      </c>
      <c r="L297" s="17"/>
      <c r="M297" s="17"/>
      <c r="N297" s="11"/>
      <c r="O297" s="11"/>
    </row>
    <row r="298" ht="22.5" customHeight="1">
      <c r="A298" s="11"/>
      <c r="B298" s="12" t="s">
        <v>2283</v>
      </c>
      <c r="C298" s="14" t="s">
        <v>2284</v>
      </c>
      <c r="D298" s="14" t="s">
        <v>2285</v>
      </c>
      <c r="E298" s="14" t="s">
        <v>2286</v>
      </c>
      <c r="F298" s="14" t="s">
        <v>115</v>
      </c>
      <c r="G298" s="15" t="s">
        <v>2287</v>
      </c>
      <c r="H298" s="14" t="s">
        <v>2288</v>
      </c>
      <c r="I298" s="14" t="s">
        <v>399</v>
      </c>
      <c r="J298" s="14" t="s">
        <v>2289</v>
      </c>
      <c r="K298" s="16" t="s">
        <v>2290</v>
      </c>
      <c r="L298" s="17"/>
      <c r="M298" s="17"/>
      <c r="N298" s="11"/>
      <c r="O298" s="11"/>
    </row>
    <row r="299" ht="22.5" customHeight="1">
      <c r="A299" s="11"/>
      <c r="B299" s="12" t="s">
        <v>2291</v>
      </c>
      <c r="C299" s="14" t="s">
        <v>2292</v>
      </c>
      <c r="D299" s="14" t="s">
        <v>2293</v>
      </c>
      <c r="E299" s="14" t="s">
        <v>2294</v>
      </c>
      <c r="F299" s="14" t="s">
        <v>115</v>
      </c>
      <c r="G299" s="15" t="s">
        <v>2295</v>
      </c>
      <c r="H299" s="14" t="s">
        <v>2296</v>
      </c>
      <c r="I299" s="14" t="s">
        <v>399</v>
      </c>
      <c r="J299" s="14" t="s">
        <v>2297</v>
      </c>
      <c r="K299" s="16" t="s">
        <v>2298</v>
      </c>
      <c r="L299" s="17"/>
      <c r="M299" s="17"/>
      <c r="N299" s="11"/>
      <c r="O299" s="11"/>
    </row>
    <row r="300" ht="22.5" customHeight="1">
      <c r="A300" s="11"/>
      <c r="B300" s="12" t="s">
        <v>2299</v>
      </c>
      <c r="C300" s="14" t="s">
        <v>2300</v>
      </c>
      <c r="D300" s="14" t="s">
        <v>2301</v>
      </c>
      <c r="E300" s="14" t="s">
        <v>2302</v>
      </c>
      <c r="F300" s="14" t="s">
        <v>44</v>
      </c>
      <c r="G300" s="15" t="s">
        <v>2303</v>
      </c>
      <c r="H300" s="14" t="s">
        <v>2304</v>
      </c>
      <c r="I300" s="14" t="s">
        <v>37</v>
      </c>
      <c r="J300" s="14" t="s">
        <v>2305</v>
      </c>
      <c r="K300" s="16" t="s">
        <v>2306</v>
      </c>
      <c r="L300" s="17"/>
      <c r="M300" s="17"/>
      <c r="N300" s="11"/>
      <c r="O300" s="11"/>
    </row>
    <row r="301" ht="22.5" customHeight="1">
      <c r="A301" s="11"/>
      <c r="B301" s="12" t="s">
        <v>2307</v>
      </c>
      <c r="C301" s="14" t="s">
        <v>2308</v>
      </c>
      <c r="D301" s="14" t="s">
        <v>2309</v>
      </c>
      <c r="E301" s="14" t="s">
        <v>2310</v>
      </c>
      <c r="F301" s="14" t="s">
        <v>44</v>
      </c>
      <c r="G301" s="15" t="s">
        <v>2311</v>
      </c>
      <c r="H301" s="14" t="s">
        <v>2312</v>
      </c>
      <c r="I301" s="14" t="s">
        <v>399</v>
      </c>
      <c r="J301" s="14" t="s">
        <v>2313</v>
      </c>
      <c r="K301" s="16" t="s">
        <v>2314</v>
      </c>
      <c r="L301" s="17"/>
      <c r="M301" s="17"/>
      <c r="N301" s="11"/>
      <c r="O301" s="11"/>
    </row>
    <row r="302" ht="22.5" customHeight="1">
      <c r="A302" s="11"/>
      <c r="B302" s="12" t="s">
        <v>2315</v>
      </c>
      <c r="C302" s="14" t="s">
        <v>2316</v>
      </c>
      <c r="D302" s="14" t="s">
        <v>2317</v>
      </c>
      <c r="E302" s="14" t="s">
        <v>2318</v>
      </c>
      <c r="F302" s="14" t="s">
        <v>44</v>
      </c>
      <c r="G302" s="15" t="s">
        <v>2319</v>
      </c>
      <c r="H302" s="14" t="s">
        <v>2320</v>
      </c>
      <c r="I302" s="14" t="s">
        <v>37</v>
      </c>
      <c r="J302" s="14" t="s">
        <v>2321</v>
      </c>
      <c r="K302" s="16" t="s">
        <v>2322</v>
      </c>
      <c r="L302" s="17"/>
      <c r="M302" s="17"/>
      <c r="N302" s="11"/>
      <c r="O302" s="11"/>
    </row>
    <row r="303" ht="22.5" customHeight="1">
      <c r="A303" s="11"/>
      <c r="B303" s="12" t="s">
        <v>2323</v>
      </c>
      <c r="C303" s="14" t="s">
        <v>2324</v>
      </c>
      <c r="D303" s="14" t="s">
        <v>2325</v>
      </c>
      <c r="E303" s="14" t="s">
        <v>2326</v>
      </c>
      <c r="F303" s="14" t="s">
        <v>34</v>
      </c>
      <c r="G303" s="15" t="s">
        <v>2327</v>
      </c>
      <c r="H303" s="14" t="s">
        <v>2328</v>
      </c>
      <c r="I303" s="14" t="s">
        <v>399</v>
      </c>
      <c r="J303" s="14" t="s">
        <v>2329</v>
      </c>
      <c r="K303" s="16" t="s">
        <v>2330</v>
      </c>
      <c r="L303" s="17"/>
      <c r="M303" s="17"/>
      <c r="N303" s="11"/>
      <c r="O303" s="11"/>
    </row>
    <row r="304" ht="22.5" customHeight="1">
      <c r="A304" s="11"/>
      <c r="B304" s="14" t="s">
        <v>2331</v>
      </c>
      <c r="C304" s="14" t="s">
        <v>2332</v>
      </c>
      <c r="D304" s="14" t="s">
        <v>2333</v>
      </c>
      <c r="E304" s="14" t="s">
        <v>2334</v>
      </c>
      <c r="F304" s="14" t="s">
        <v>44</v>
      </c>
      <c r="G304" s="15" t="s">
        <v>2335</v>
      </c>
      <c r="H304" s="14" t="s">
        <v>2336</v>
      </c>
      <c r="I304" s="14" t="s">
        <v>37</v>
      </c>
      <c r="J304" s="14" t="s">
        <v>2337</v>
      </c>
      <c r="K304" s="16" t="s">
        <v>2338</v>
      </c>
      <c r="L304" s="17"/>
      <c r="M304" s="17"/>
      <c r="N304" s="11"/>
      <c r="O304" s="11"/>
    </row>
    <row r="305" ht="22.5" customHeight="1">
      <c r="A305" s="11"/>
      <c r="B305" s="14" t="s">
        <v>2339</v>
      </c>
      <c r="C305" s="14" t="s">
        <v>2340</v>
      </c>
      <c r="D305" s="14" t="s">
        <v>2341</v>
      </c>
      <c r="E305" s="14" t="s">
        <v>2342</v>
      </c>
      <c r="F305" s="14" t="s">
        <v>414</v>
      </c>
      <c r="G305" s="15" t="s">
        <v>2343</v>
      </c>
      <c r="H305" s="14" t="s">
        <v>2344</v>
      </c>
      <c r="I305" s="14" t="s">
        <v>399</v>
      </c>
      <c r="J305" s="14" t="s">
        <v>2345</v>
      </c>
      <c r="K305" s="16" t="s">
        <v>2346</v>
      </c>
      <c r="L305" s="17"/>
      <c r="M305" s="17"/>
      <c r="N305" s="11"/>
      <c r="O305" s="11"/>
    </row>
    <row r="306" ht="22.5" customHeight="1">
      <c r="A306" s="11"/>
      <c r="B306" s="14" t="s">
        <v>2339</v>
      </c>
      <c r="C306" s="14" t="s">
        <v>2340</v>
      </c>
      <c r="D306" s="14" t="s">
        <v>2347</v>
      </c>
      <c r="E306" s="14" t="s">
        <v>2348</v>
      </c>
      <c r="F306" s="14" t="s">
        <v>194</v>
      </c>
      <c r="G306" s="15" t="s">
        <v>2349</v>
      </c>
      <c r="H306" s="14" t="s">
        <v>2344</v>
      </c>
      <c r="I306" s="14" t="s">
        <v>399</v>
      </c>
      <c r="J306" s="14" t="s">
        <v>2345</v>
      </c>
      <c r="K306" s="16" t="s">
        <v>2346</v>
      </c>
      <c r="L306" s="17"/>
      <c r="M306" s="17"/>
      <c r="N306" s="11"/>
      <c r="O306" s="11"/>
    </row>
    <row r="307" ht="22.5" customHeight="1">
      <c r="A307" s="11"/>
      <c r="B307" s="14" t="s">
        <v>2339</v>
      </c>
      <c r="C307" s="14" t="s">
        <v>2340</v>
      </c>
      <c r="D307" s="14" t="s">
        <v>2347</v>
      </c>
      <c r="E307" s="14" t="s">
        <v>2350</v>
      </c>
      <c r="F307" s="14" t="s">
        <v>194</v>
      </c>
      <c r="G307" s="15" t="s">
        <v>2351</v>
      </c>
      <c r="H307" s="14" t="s">
        <v>2344</v>
      </c>
      <c r="I307" s="14" t="s">
        <v>399</v>
      </c>
      <c r="J307" s="14" t="s">
        <v>2345</v>
      </c>
      <c r="K307" s="16" t="s">
        <v>2346</v>
      </c>
      <c r="L307" s="17"/>
      <c r="M307" s="17"/>
      <c r="N307" s="11"/>
      <c r="O307" s="11"/>
    </row>
    <row r="308" ht="22.5" customHeight="1">
      <c r="A308" s="11"/>
      <c r="B308" s="14" t="s">
        <v>2339</v>
      </c>
      <c r="C308" s="14" t="s">
        <v>2340</v>
      </c>
      <c r="D308" s="14" t="s">
        <v>2352</v>
      </c>
      <c r="E308" s="14" t="s">
        <v>2353</v>
      </c>
      <c r="F308" s="14" t="s">
        <v>1274</v>
      </c>
      <c r="G308" s="15" t="s">
        <v>2354</v>
      </c>
      <c r="H308" s="14" t="s">
        <v>2344</v>
      </c>
      <c r="I308" s="14" t="s">
        <v>399</v>
      </c>
      <c r="J308" s="14" t="s">
        <v>2345</v>
      </c>
      <c r="K308" s="16" t="s">
        <v>2346</v>
      </c>
      <c r="L308" s="17"/>
      <c r="M308" s="17"/>
      <c r="N308" s="11"/>
      <c r="O308" s="11"/>
    </row>
    <row r="309" ht="22.5" customHeight="1">
      <c r="A309" s="11"/>
      <c r="B309" s="14" t="s">
        <v>2339</v>
      </c>
      <c r="C309" s="14" t="s">
        <v>2340</v>
      </c>
      <c r="D309" s="14" t="s">
        <v>2355</v>
      </c>
      <c r="E309" s="14" t="s">
        <v>2356</v>
      </c>
      <c r="F309" s="14" t="s">
        <v>966</v>
      </c>
      <c r="G309" s="15" t="s">
        <v>2357</v>
      </c>
      <c r="H309" s="14" t="s">
        <v>2344</v>
      </c>
      <c r="I309" s="14" t="s">
        <v>399</v>
      </c>
      <c r="J309" s="14" t="s">
        <v>2345</v>
      </c>
      <c r="K309" s="16" t="s">
        <v>2346</v>
      </c>
      <c r="L309" s="17"/>
      <c r="M309" s="17"/>
      <c r="N309" s="11"/>
      <c r="O309" s="11"/>
    </row>
    <row r="310" ht="22.5" customHeight="1">
      <c r="A310" s="11"/>
      <c r="B310" s="14" t="s">
        <v>2339</v>
      </c>
      <c r="C310" s="14" t="s">
        <v>2340</v>
      </c>
      <c r="D310" s="14" t="s">
        <v>2358</v>
      </c>
      <c r="E310" s="14" t="s">
        <v>2359</v>
      </c>
      <c r="F310" s="14" t="s">
        <v>53</v>
      </c>
      <c r="G310" s="15" t="s">
        <v>2360</v>
      </c>
      <c r="H310" s="14" t="s">
        <v>2344</v>
      </c>
      <c r="I310" s="14" t="s">
        <v>399</v>
      </c>
      <c r="J310" s="14" t="s">
        <v>2345</v>
      </c>
      <c r="K310" s="16" t="s">
        <v>2346</v>
      </c>
      <c r="L310" s="17"/>
      <c r="M310" s="17"/>
      <c r="N310" s="11"/>
      <c r="O310" s="11"/>
    </row>
    <row r="311" ht="22.5" customHeight="1">
      <c r="A311" s="11"/>
      <c r="B311" s="14" t="s">
        <v>2339</v>
      </c>
      <c r="C311" s="14" t="s">
        <v>2340</v>
      </c>
      <c r="D311" s="14" t="s">
        <v>2355</v>
      </c>
      <c r="E311" s="14" t="s">
        <v>2361</v>
      </c>
      <c r="F311" s="14" t="s">
        <v>966</v>
      </c>
      <c r="G311" s="15" t="s">
        <v>2362</v>
      </c>
      <c r="H311" s="14" t="s">
        <v>2344</v>
      </c>
      <c r="I311" s="14" t="s">
        <v>399</v>
      </c>
      <c r="J311" s="14" t="s">
        <v>2345</v>
      </c>
      <c r="K311" s="16" t="s">
        <v>2346</v>
      </c>
      <c r="L311" s="17"/>
      <c r="M311" s="17"/>
      <c r="N311" s="11"/>
      <c r="O311" s="11"/>
    </row>
    <row r="312" ht="22.5" customHeight="1">
      <c r="A312" s="11"/>
      <c r="B312" s="12" t="s">
        <v>2339</v>
      </c>
      <c r="C312" s="14" t="s">
        <v>2340</v>
      </c>
      <c r="D312" s="14" t="s">
        <v>2358</v>
      </c>
      <c r="E312" s="14" t="s">
        <v>2363</v>
      </c>
      <c r="F312" s="14" t="s">
        <v>53</v>
      </c>
      <c r="G312" s="15" t="s">
        <v>2364</v>
      </c>
      <c r="H312" s="14" t="s">
        <v>2344</v>
      </c>
      <c r="I312" s="14" t="s">
        <v>399</v>
      </c>
      <c r="J312" s="14" t="s">
        <v>2345</v>
      </c>
      <c r="K312" s="16" t="s">
        <v>2346</v>
      </c>
      <c r="L312" s="17"/>
      <c r="M312" s="17"/>
      <c r="N312" s="11"/>
      <c r="O312" s="11"/>
    </row>
    <row r="313" ht="22.5" customHeight="1">
      <c r="A313" s="11"/>
      <c r="B313" s="14" t="s">
        <v>2365</v>
      </c>
      <c r="C313" s="14" t="s">
        <v>2366</v>
      </c>
      <c r="D313" s="14" t="s">
        <v>2367</v>
      </c>
      <c r="E313" s="14" t="s">
        <v>2368</v>
      </c>
      <c r="F313" s="14" t="s">
        <v>44</v>
      </c>
      <c r="G313" s="15" t="s">
        <v>2369</v>
      </c>
      <c r="H313" s="14" t="s">
        <v>2370</v>
      </c>
      <c r="I313" s="14" t="s">
        <v>37</v>
      </c>
      <c r="J313" s="14" t="s">
        <v>2371</v>
      </c>
      <c r="K313" s="16" t="s">
        <v>2372</v>
      </c>
      <c r="L313" s="17"/>
      <c r="M313" s="17"/>
      <c r="N313" s="11"/>
      <c r="O313" s="11"/>
    </row>
    <row r="314" ht="22.5" customHeight="1">
      <c r="A314" s="11"/>
      <c r="B314" s="14" t="s">
        <v>2339</v>
      </c>
      <c r="C314" s="14" t="s">
        <v>2340</v>
      </c>
      <c r="D314" s="14" t="s">
        <v>2373</v>
      </c>
      <c r="E314" s="14" t="s">
        <v>2374</v>
      </c>
      <c r="F314" s="14" t="s">
        <v>1156</v>
      </c>
      <c r="G314" s="15" t="s">
        <v>2375</v>
      </c>
      <c r="H314" s="14" t="s">
        <v>2344</v>
      </c>
      <c r="I314" s="14" t="s">
        <v>399</v>
      </c>
      <c r="J314" s="14" t="s">
        <v>2345</v>
      </c>
      <c r="K314" s="16" t="s">
        <v>2346</v>
      </c>
      <c r="L314" s="17"/>
      <c r="M314" s="17"/>
      <c r="N314" s="11"/>
      <c r="O314" s="11"/>
    </row>
    <row r="315" ht="22.5" customHeight="1">
      <c r="A315" s="11"/>
      <c r="B315" s="14" t="s">
        <v>2339</v>
      </c>
      <c r="C315" s="14" t="s">
        <v>2340</v>
      </c>
      <c r="D315" s="14" t="s">
        <v>2376</v>
      </c>
      <c r="E315" s="14" t="s">
        <v>2377</v>
      </c>
      <c r="F315" s="14" t="s">
        <v>1123</v>
      </c>
      <c r="G315" s="15" t="s">
        <v>2378</v>
      </c>
      <c r="H315" s="14" t="s">
        <v>2344</v>
      </c>
      <c r="I315" s="14" t="s">
        <v>399</v>
      </c>
      <c r="J315" s="14" t="s">
        <v>2345</v>
      </c>
      <c r="K315" s="16" t="s">
        <v>2346</v>
      </c>
      <c r="L315" s="17"/>
      <c r="M315" s="17"/>
      <c r="N315" s="11"/>
      <c r="O315" s="11"/>
    </row>
    <row r="316" ht="22.5" customHeight="1">
      <c r="A316" s="11"/>
      <c r="B316" s="12" t="s">
        <v>2339</v>
      </c>
      <c r="C316" s="14" t="s">
        <v>2340</v>
      </c>
      <c r="D316" s="14" t="s">
        <v>2379</v>
      </c>
      <c r="E316" s="14" t="s">
        <v>2380</v>
      </c>
      <c r="F316" s="14" t="s">
        <v>1123</v>
      </c>
      <c r="G316" s="15" t="s">
        <v>2381</v>
      </c>
      <c r="H316" s="14" t="s">
        <v>2344</v>
      </c>
      <c r="I316" s="14" t="s">
        <v>399</v>
      </c>
      <c r="J316" s="14" t="s">
        <v>2345</v>
      </c>
      <c r="K316" s="16" t="s">
        <v>2346</v>
      </c>
      <c r="L316" s="17"/>
      <c r="M316" s="17"/>
      <c r="N316" s="11"/>
      <c r="O316" s="11"/>
    </row>
    <row r="317" ht="22.5" customHeight="1">
      <c r="A317" s="11"/>
      <c r="B317" s="14" t="s">
        <v>2382</v>
      </c>
      <c r="C317" s="14" t="s">
        <v>2383</v>
      </c>
      <c r="D317" s="14" t="s">
        <v>2384</v>
      </c>
      <c r="E317" s="14" t="s">
        <v>2385</v>
      </c>
      <c r="F317" s="14" t="s">
        <v>23</v>
      </c>
      <c r="G317" s="15" t="s">
        <v>2386</v>
      </c>
      <c r="H317" s="14" t="s">
        <v>2387</v>
      </c>
      <c r="I317" s="14" t="s">
        <v>26</v>
      </c>
      <c r="J317" s="14" t="s">
        <v>2388</v>
      </c>
      <c r="K317" s="16" t="s">
        <v>2389</v>
      </c>
      <c r="L317" s="17"/>
      <c r="M317" s="17"/>
      <c r="N317" s="11"/>
      <c r="O317" s="11"/>
    </row>
    <row r="318" ht="22.5" customHeight="1">
      <c r="A318" s="11"/>
      <c r="B318" s="12" t="s">
        <v>2339</v>
      </c>
      <c r="C318" s="14" t="s">
        <v>2340</v>
      </c>
      <c r="D318" s="14" t="s">
        <v>2352</v>
      </c>
      <c r="E318" s="14" t="s">
        <v>2390</v>
      </c>
      <c r="F318" s="14" t="s">
        <v>1274</v>
      </c>
      <c r="G318" s="15" t="s">
        <v>2391</v>
      </c>
      <c r="H318" s="14" t="s">
        <v>2344</v>
      </c>
      <c r="I318" s="14" t="s">
        <v>399</v>
      </c>
      <c r="J318" s="14" t="s">
        <v>2345</v>
      </c>
      <c r="K318" s="16" t="s">
        <v>2346</v>
      </c>
      <c r="L318" s="17"/>
      <c r="M318" s="17"/>
      <c r="N318" s="11"/>
      <c r="O318" s="11"/>
    </row>
    <row r="319" ht="22.5" customHeight="1">
      <c r="A319" s="11"/>
      <c r="B319" s="12" t="s">
        <v>2392</v>
      </c>
      <c r="C319" s="14" t="s">
        <v>2393</v>
      </c>
      <c r="D319" s="14" t="s">
        <v>2394</v>
      </c>
      <c r="E319" s="14" t="s">
        <v>2395</v>
      </c>
      <c r="F319" s="14" t="s">
        <v>34</v>
      </c>
      <c r="G319" s="15" t="s">
        <v>2396</v>
      </c>
      <c r="H319" s="14" t="s">
        <v>2397</v>
      </c>
      <c r="I319" s="14" t="s">
        <v>399</v>
      </c>
      <c r="J319" s="14" t="s">
        <v>2398</v>
      </c>
      <c r="K319" s="16" t="s">
        <v>2399</v>
      </c>
      <c r="L319" s="17"/>
      <c r="M319" s="17"/>
      <c r="N319" s="11"/>
      <c r="O319" s="11"/>
    </row>
    <row r="320" ht="22.5" customHeight="1">
      <c r="A320" s="11"/>
      <c r="B320" s="12" t="s">
        <v>2400</v>
      </c>
      <c r="C320" s="14" t="s">
        <v>2401</v>
      </c>
      <c r="D320" s="14" t="s">
        <v>2402</v>
      </c>
      <c r="E320" s="14" t="s">
        <v>2403</v>
      </c>
      <c r="F320" s="14" t="s">
        <v>44</v>
      </c>
      <c r="G320" s="15" t="s">
        <v>2404</v>
      </c>
      <c r="H320" s="14" t="s">
        <v>2405</v>
      </c>
      <c r="I320" s="14" t="s">
        <v>26</v>
      </c>
      <c r="J320" s="14" t="s">
        <v>2406</v>
      </c>
      <c r="K320" s="16" t="s">
        <v>2407</v>
      </c>
      <c r="L320" s="17"/>
      <c r="M320" s="17"/>
      <c r="N320" s="11"/>
      <c r="O320" s="11"/>
    </row>
    <row r="321" ht="22.5" customHeight="1">
      <c r="A321" s="11"/>
      <c r="B321" s="12" t="s">
        <v>2400</v>
      </c>
      <c r="C321" s="14" t="s">
        <v>2401</v>
      </c>
      <c r="D321" s="14" t="s">
        <v>2402</v>
      </c>
      <c r="E321" s="14" t="s">
        <v>2403</v>
      </c>
      <c r="F321" s="14" t="s">
        <v>44</v>
      </c>
      <c r="G321" s="15" t="s">
        <v>2404</v>
      </c>
      <c r="H321" s="14" t="s">
        <v>2405</v>
      </c>
      <c r="I321" s="14" t="s">
        <v>26</v>
      </c>
      <c r="J321" s="14" t="s">
        <v>2406</v>
      </c>
      <c r="K321" s="16" t="s">
        <v>2407</v>
      </c>
      <c r="L321" s="17"/>
      <c r="M321" s="17"/>
      <c r="N321" s="11"/>
      <c r="O321" s="11"/>
    </row>
    <row r="322" ht="22.5" customHeight="1">
      <c r="A322" s="11"/>
      <c r="B322" s="12" t="s">
        <v>2408</v>
      </c>
      <c r="C322" s="14" t="s">
        <v>2409</v>
      </c>
      <c r="D322" s="14" t="s">
        <v>2410</v>
      </c>
      <c r="E322" s="14" t="s">
        <v>2411</v>
      </c>
      <c r="F322" s="14" t="s">
        <v>62</v>
      </c>
      <c r="G322" s="15" t="s">
        <v>2412</v>
      </c>
      <c r="H322" s="14" t="s">
        <v>2413</v>
      </c>
      <c r="I322" s="14" t="s">
        <v>26</v>
      </c>
      <c r="J322" s="14" t="s">
        <v>2414</v>
      </c>
      <c r="K322" s="16" t="s">
        <v>2415</v>
      </c>
      <c r="L322" s="14" t="s">
        <v>1860</v>
      </c>
      <c r="M322" s="14" t="s">
        <v>1861</v>
      </c>
      <c r="N322" s="11"/>
      <c r="O322" s="11"/>
    </row>
    <row r="323" ht="22.5" customHeight="1">
      <c r="A323" s="11"/>
      <c r="B323" s="12" t="s">
        <v>2416</v>
      </c>
      <c r="C323" s="14" t="s">
        <v>2417</v>
      </c>
      <c r="D323" s="14" t="s">
        <v>2418</v>
      </c>
      <c r="E323" s="14" t="s">
        <v>2419</v>
      </c>
      <c r="F323" s="14" t="s">
        <v>62</v>
      </c>
      <c r="G323" s="15" t="s">
        <v>2420</v>
      </c>
      <c r="H323" s="14" t="s">
        <v>2421</v>
      </c>
      <c r="I323" s="14" t="s">
        <v>37</v>
      </c>
      <c r="J323" s="14" t="s">
        <v>2422</v>
      </c>
      <c r="K323" s="16" t="s">
        <v>2423</v>
      </c>
      <c r="L323" s="17"/>
      <c r="M323" s="17"/>
      <c r="N323" s="11"/>
      <c r="O323" s="11"/>
    </row>
    <row r="324" ht="22.5" customHeight="1">
      <c r="A324" s="11"/>
      <c r="B324" s="12" t="s">
        <v>2424</v>
      </c>
      <c r="C324" s="14" t="s">
        <v>2425</v>
      </c>
      <c r="D324" s="14" t="s">
        <v>2426</v>
      </c>
      <c r="E324" s="14" t="s">
        <v>2427</v>
      </c>
      <c r="F324" s="14" t="s">
        <v>62</v>
      </c>
      <c r="G324" s="15" t="s">
        <v>2428</v>
      </c>
      <c r="H324" s="14" t="s">
        <v>2429</v>
      </c>
      <c r="I324" s="14" t="s">
        <v>37</v>
      </c>
      <c r="J324" s="14" t="s">
        <v>2430</v>
      </c>
      <c r="K324" s="16" t="s">
        <v>2431</v>
      </c>
      <c r="L324" s="17"/>
      <c r="M324" s="17"/>
      <c r="N324" s="11"/>
      <c r="O324" s="11"/>
    </row>
    <row r="325" ht="22.5" customHeight="1">
      <c r="A325" s="11"/>
      <c r="B325" s="12" t="s">
        <v>2432</v>
      </c>
      <c r="C325" s="14" t="s">
        <v>2433</v>
      </c>
      <c r="D325" s="14" t="s">
        <v>2434</v>
      </c>
      <c r="E325" s="14" t="s">
        <v>2435</v>
      </c>
      <c r="F325" s="14" t="s">
        <v>44</v>
      </c>
      <c r="G325" s="15" t="s">
        <v>2436</v>
      </c>
      <c r="H325" s="14" t="s">
        <v>2437</v>
      </c>
      <c r="I325" s="14" t="s">
        <v>26</v>
      </c>
      <c r="J325" s="14" t="s">
        <v>2267</v>
      </c>
      <c r="K325" s="16" t="s">
        <v>2268</v>
      </c>
      <c r="L325" s="17"/>
      <c r="M325" s="17"/>
      <c r="N325" s="11"/>
      <c r="O325" s="11"/>
    </row>
    <row r="326" ht="22.5" customHeight="1">
      <c r="A326" s="11"/>
      <c r="B326" s="12" t="s">
        <v>2438</v>
      </c>
      <c r="C326" s="14" t="s">
        <v>2439</v>
      </c>
      <c r="D326" s="14" t="s">
        <v>2440</v>
      </c>
      <c r="E326" s="14" t="s">
        <v>2441</v>
      </c>
      <c r="F326" s="14" t="s">
        <v>34</v>
      </c>
      <c r="G326" s="15" t="s">
        <v>2442</v>
      </c>
      <c r="H326" s="14" t="s">
        <v>2443</v>
      </c>
      <c r="I326" s="14" t="s">
        <v>26</v>
      </c>
      <c r="J326" s="14" t="s">
        <v>2444</v>
      </c>
      <c r="K326" s="16" t="s">
        <v>2445</v>
      </c>
      <c r="L326" s="17"/>
      <c r="M326" s="17"/>
      <c r="N326" s="11"/>
      <c r="O326" s="11"/>
    </row>
    <row r="327" ht="22.5" customHeight="1">
      <c r="A327" s="11"/>
      <c r="B327" s="12" t="s">
        <v>2446</v>
      </c>
      <c r="C327" s="14" t="s">
        <v>2447</v>
      </c>
      <c r="D327" s="14" t="s">
        <v>2448</v>
      </c>
      <c r="E327" s="14" t="s">
        <v>2449</v>
      </c>
      <c r="F327" s="14" t="s">
        <v>34</v>
      </c>
      <c r="G327" s="15" t="s">
        <v>2450</v>
      </c>
      <c r="H327" s="14" t="s">
        <v>2451</v>
      </c>
      <c r="I327" s="14" t="s">
        <v>399</v>
      </c>
      <c r="J327" s="14" t="s">
        <v>2452</v>
      </c>
      <c r="K327" s="16" t="s">
        <v>2453</v>
      </c>
      <c r="L327" s="17"/>
      <c r="M327" s="17"/>
      <c r="N327" s="11"/>
      <c r="O327" s="11"/>
    </row>
    <row r="328" ht="22.5" customHeight="1">
      <c r="A328" s="11"/>
      <c r="B328" s="12" t="s">
        <v>2454</v>
      </c>
      <c r="C328" s="14" t="s">
        <v>2455</v>
      </c>
      <c r="D328" s="14" t="s">
        <v>1550</v>
      </c>
      <c r="E328" s="14" t="s">
        <v>2456</v>
      </c>
      <c r="F328" s="14" t="s">
        <v>44</v>
      </c>
      <c r="G328" s="15" t="s">
        <v>2457</v>
      </c>
      <c r="H328" s="14" t="s">
        <v>2458</v>
      </c>
      <c r="I328" s="14" t="s">
        <v>37</v>
      </c>
      <c r="J328" s="14" t="s">
        <v>2459</v>
      </c>
      <c r="K328" s="16" t="s">
        <v>2460</v>
      </c>
      <c r="L328" s="17"/>
      <c r="M328" s="17"/>
      <c r="N328" s="11"/>
      <c r="O328" s="11"/>
    </row>
    <row r="329" ht="22.5" customHeight="1">
      <c r="A329" s="11"/>
      <c r="B329" s="12" t="s">
        <v>2461</v>
      </c>
      <c r="C329" s="14" t="s">
        <v>2462</v>
      </c>
      <c r="D329" s="14" t="s">
        <v>2463</v>
      </c>
      <c r="E329" s="14" t="s">
        <v>2464</v>
      </c>
      <c r="F329" s="14" t="s">
        <v>23</v>
      </c>
      <c r="G329" s="15" t="s">
        <v>2465</v>
      </c>
      <c r="H329" s="14" t="s">
        <v>2466</v>
      </c>
      <c r="I329" s="14" t="s">
        <v>26</v>
      </c>
      <c r="J329" s="14" t="s">
        <v>2467</v>
      </c>
      <c r="K329" s="16" t="s">
        <v>2468</v>
      </c>
      <c r="L329" s="17"/>
      <c r="M329" s="17"/>
      <c r="N329" s="11"/>
      <c r="O329" s="11"/>
    </row>
    <row r="330" ht="22.5" customHeight="1">
      <c r="A330" s="11"/>
      <c r="B330" s="12" t="s">
        <v>2469</v>
      </c>
      <c r="C330" s="14" t="s">
        <v>2470</v>
      </c>
      <c r="D330" s="14" t="s">
        <v>2471</v>
      </c>
      <c r="E330" s="14" t="s">
        <v>2472</v>
      </c>
      <c r="F330" s="14" t="s">
        <v>34</v>
      </c>
      <c r="G330" s="15" t="s">
        <v>2473</v>
      </c>
      <c r="H330" s="14" t="s">
        <v>2474</v>
      </c>
      <c r="I330" s="14" t="s">
        <v>37</v>
      </c>
      <c r="J330" s="14" t="s">
        <v>2475</v>
      </c>
      <c r="K330" s="16" t="s">
        <v>2476</v>
      </c>
      <c r="L330" s="17"/>
      <c r="M330" s="17"/>
      <c r="N330" s="11"/>
      <c r="O330" s="11"/>
    </row>
    <row r="331" ht="22.5" customHeight="1">
      <c r="A331" s="11"/>
      <c r="B331" s="12" t="s">
        <v>2477</v>
      </c>
      <c r="C331" s="14" t="s">
        <v>2478</v>
      </c>
      <c r="D331" s="14" t="s">
        <v>2479</v>
      </c>
      <c r="E331" s="14" t="s">
        <v>2480</v>
      </c>
      <c r="F331" s="14" t="s">
        <v>44</v>
      </c>
      <c r="G331" s="15" t="s">
        <v>2481</v>
      </c>
      <c r="H331" s="14" t="s">
        <v>2482</v>
      </c>
      <c r="I331" s="14" t="s">
        <v>37</v>
      </c>
      <c r="J331" s="14" t="s">
        <v>2483</v>
      </c>
      <c r="K331" s="16" t="s">
        <v>2484</v>
      </c>
      <c r="L331" s="17"/>
      <c r="M331" s="17"/>
      <c r="N331" s="11"/>
      <c r="O331" s="11"/>
    </row>
    <row r="332" ht="22.5" customHeight="1">
      <c r="A332" s="11"/>
      <c r="B332" s="12" t="s">
        <v>2485</v>
      </c>
      <c r="C332" s="14" t="s">
        <v>2486</v>
      </c>
      <c r="D332" s="14" t="s">
        <v>2487</v>
      </c>
      <c r="E332" s="14" t="s">
        <v>2488</v>
      </c>
      <c r="F332" s="14" t="s">
        <v>53</v>
      </c>
      <c r="G332" s="15" t="s">
        <v>2489</v>
      </c>
      <c r="H332" s="14" t="s">
        <v>2490</v>
      </c>
      <c r="I332" s="14" t="s">
        <v>399</v>
      </c>
      <c r="J332" s="14" t="s">
        <v>2491</v>
      </c>
      <c r="K332" s="16" t="s">
        <v>2492</v>
      </c>
      <c r="L332" s="17"/>
      <c r="M332" s="17"/>
      <c r="N332" s="11"/>
      <c r="O332" s="11"/>
    </row>
    <row r="333" ht="22.5" customHeight="1">
      <c r="A333" s="11"/>
      <c r="B333" s="12" t="s">
        <v>2493</v>
      </c>
      <c r="C333" s="14" t="s">
        <v>2494</v>
      </c>
      <c r="D333" s="14" t="s">
        <v>2495</v>
      </c>
      <c r="E333" s="14" t="s">
        <v>2496</v>
      </c>
      <c r="F333" s="14" t="s">
        <v>115</v>
      </c>
      <c r="G333" s="15" t="s">
        <v>2497</v>
      </c>
      <c r="H333" s="14" t="s">
        <v>2498</v>
      </c>
      <c r="I333" s="14" t="s">
        <v>26</v>
      </c>
      <c r="J333" s="14" t="s">
        <v>2499</v>
      </c>
      <c r="K333" s="16" t="s">
        <v>2500</v>
      </c>
      <c r="L333" s="17"/>
      <c r="M333" s="17"/>
      <c r="N333" s="11"/>
      <c r="O333" s="11"/>
    </row>
    <row r="334" ht="22.5" customHeight="1">
      <c r="A334" s="11"/>
      <c r="B334" s="12" t="s">
        <v>2501</v>
      </c>
      <c r="C334" s="14" t="s">
        <v>2502</v>
      </c>
      <c r="D334" s="14" t="s">
        <v>2503</v>
      </c>
      <c r="E334" s="14" t="s">
        <v>2504</v>
      </c>
      <c r="F334" s="14" t="s">
        <v>34</v>
      </c>
      <c r="G334" s="15" t="s">
        <v>2505</v>
      </c>
      <c r="H334" s="14" t="s">
        <v>2506</v>
      </c>
      <c r="I334" s="14" t="s">
        <v>37</v>
      </c>
      <c r="J334" s="14" t="s">
        <v>2507</v>
      </c>
      <c r="K334" s="16" t="s">
        <v>2508</v>
      </c>
      <c r="L334" s="17"/>
      <c r="M334" s="17"/>
      <c r="N334" s="11"/>
      <c r="O334" s="11"/>
    </row>
    <row r="335" ht="22.5" customHeight="1">
      <c r="A335" s="11"/>
      <c r="B335" s="12" t="s">
        <v>2509</v>
      </c>
      <c r="C335" s="14" t="s">
        <v>2510</v>
      </c>
      <c r="D335" s="14" t="s">
        <v>2511</v>
      </c>
      <c r="E335" s="14" t="s">
        <v>2512</v>
      </c>
      <c r="F335" s="14" t="s">
        <v>34</v>
      </c>
      <c r="G335" s="15" t="s">
        <v>2513</v>
      </c>
      <c r="H335" s="14" t="s">
        <v>2514</v>
      </c>
      <c r="I335" s="14" t="s">
        <v>37</v>
      </c>
      <c r="J335" s="14" t="s">
        <v>2515</v>
      </c>
      <c r="K335" s="16" t="s">
        <v>2516</v>
      </c>
      <c r="L335" s="17"/>
      <c r="M335" s="17"/>
      <c r="N335" s="11"/>
      <c r="O335" s="11"/>
    </row>
    <row r="336" ht="22.5" customHeight="1">
      <c r="A336" s="11"/>
      <c r="B336" s="12" t="s">
        <v>2517</v>
      </c>
      <c r="C336" s="14" t="s">
        <v>2518</v>
      </c>
      <c r="D336" s="14" t="s">
        <v>2519</v>
      </c>
      <c r="E336" s="14" t="s">
        <v>2520</v>
      </c>
      <c r="F336" s="14" t="s">
        <v>44</v>
      </c>
      <c r="G336" s="15" t="s">
        <v>2521</v>
      </c>
      <c r="H336" s="14" t="s">
        <v>2522</v>
      </c>
      <c r="I336" s="14" t="s">
        <v>37</v>
      </c>
      <c r="J336" s="14" t="s">
        <v>2523</v>
      </c>
      <c r="K336" s="16" t="s">
        <v>2524</v>
      </c>
      <c r="L336" s="17"/>
      <c r="M336" s="17"/>
      <c r="N336" s="11"/>
      <c r="O336" s="11"/>
    </row>
    <row r="337" ht="22.5" customHeight="1">
      <c r="A337" s="11"/>
      <c r="B337" s="12" t="s">
        <v>2525</v>
      </c>
      <c r="C337" s="14" t="s">
        <v>2526</v>
      </c>
      <c r="D337" s="14" t="s">
        <v>2527</v>
      </c>
      <c r="E337" s="14" t="s">
        <v>2528</v>
      </c>
      <c r="F337" s="14" t="s">
        <v>238</v>
      </c>
      <c r="G337" s="15" t="s">
        <v>2529</v>
      </c>
      <c r="H337" s="14" t="s">
        <v>2530</v>
      </c>
      <c r="I337" s="14" t="s">
        <v>26</v>
      </c>
      <c r="J337" s="14" t="s">
        <v>2531</v>
      </c>
      <c r="K337" s="16" t="s">
        <v>2532</v>
      </c>
      <c r="L337" s="17"/>
      <c r="M337" s="17"/>
      <c r="N337" s="11"/>
      <c r="O337" s="11"/>
    </row>
    <row r="338" ht="22.5" customHeight="1">
      <c r="A338" s="11"/>
      <c r="B338" s="12" t="s">
        <v>2533</v>
      </c>
      <c r="C338" s="14" t="s">
        <v>2534</v>
      </c>
      <c r="D338" s="14" t="s">
        <v>2535</v>
      </c>
      <c r="E338" s="14" t="s">
        <v>2536</v>
      </c>
      <c r="F338" s="14" t="s">
        <v>238</v>
      </c>
      <c r="G338" s="15" t="s">
        <v>2537</v>
      </c>
      <c r="H338" s="14" t="s">
        <v>2538</v>
      </c>
      <c r="I338" s="14" t="s">
        <v>37</v>
      </c>
      <c r="J338" s="14" t="s">
        <v>2539</v>
      </c>
      <c r="K338" s="16" t="s">
        <v>2540</v>
      </c>
      <c r="L338" s="17"/>
      <c r="M338" s="17"/>
      <c r="N338" s="11"/>
      <c r="O338" s="11"/>
    </row>
    <row r="339" ht="22.5" customHeight="1">
      <c r="A339" s="11"/>
      <c r="B339" s="12" t="s">
        <v>2541</v>
      </c>
      <c r="C339" s="14" t="s">
        <v>2542</v>
      </c>
      <c r="D339" s="14" t="s">
        <v>2543</v>
      </c>
      <c r="E339" s="14" t="s">
        <v>2544</v>
      </c>
      <c r="F339" s="14" t="s">
        <v>62</v>
      </c>
      <c r="G339" s="15" t="s">
        <v>2545</v>
      </c>
      <c r="H339" s="14" t="s">
        <v>2546</v>
      </c>
      <c r="I339" s="14" t="s">
        <v>37</v>
      </c>
      <c r="J339" s="14" t="s">
        <v>2547</v>
      </c>
      <c r="K339" s="16" t="s">
        <v>2548</v>
      </c>
      <c r="L339" s="17"/>
      <c r="M339" s="17"/>
      <c r="N339" s="11"/>
      <c r="O339" s="11"/>
    </row>
    <row r="340" ht="22.5" customHeight="1">
      <c r="A340" s="11"/>
      <c r="B340" s="12" t="s">
        <v>2549</v>
      </c>
      <c r="C340" s="14" t="s">
        <v>2550</v>
      </c>
      <c r="D340" s="14" t="s">
        <v>2551</v>
      </c>
      <c r="E340" s="14" t="s">
        <v>2552</v>
      </c>
      <c r="F340" s="14" t="s">
        <v>62</v>
      </c>
      <c r="G340" s="15" t="s">
        <v>2553</v>
      </c>
      <c r="H340" s="14" t="s">
        <v>2554</v>
      </c>
      <c r="I340" s="14" t="s">
        <v>26</v>
      </c>
      <c r="J340" s="14" t="s">
        <v>2555</v>
      </c>
      <c r="K340" s="16" t="s">
        <v>2556</v>
      </c>
      <c r="L340" s="17"/>
      <c r="M340" s="17"/>
      <c r="N340" s="11"/>
      <c r="O340" s="11"/>
    </row>
    <row r="341" ht="22.5" customHeight="1">
      <c r="A341" s="11"/>
      <c r="B341" s="12" t="s">
        <v>2557</v>
      </c>
      <c r="C341" s="14" t="s">
        <v>2558</v>
      </c>
      <c r="D341" s="14" t="s">
        <v>2559</v>
      </c>
      <c r="E341" s="14" t="s">
        <v>2560</v>
      </c>
      <c r="F341" s="14" t="s">
        <v>62</v>
      </c>
      <c r="G341" s="15" t="s">
        <v>2561</v>
      </c>
      <c r="H341" s="14" t="s">
        <v>2562</v>
      </c>
      <c r="I341" s="14" t="s">
        <v>37</v>
      </c>
      <c r="J341" s="14" t="s">
        <v>2563</v>
      </c>
      <c r="K341" s="16" t="s">
        <v>2564</v>
      </c>
      <c r="L341" s="17"/>
      <c r="M341" s="17"/>
      <c r="N341" s="11"/>
      <c r="O341" s="11"/>
    </row>
    <row r="342" ht="22.5" customHeight="1">
      <c r="A342" s="11"/>
      <c r="B342" s="12" t="s">
        <v>2565</v>
      </c>
      <c r="C342" s="14" t="s">
        <v>2566</v>
      </c>
      <c r="D342" s="14" t="s">
        <v>2567</v>
      </c>
      <c r="E342" s="14" t="s">
        <v>2568</v>
      </c>
      <c r="F342" s="14" t="s">
        <v>44</v>
      </c>
      <c r="G342" s="15" t="s">
        <v>2569</v>
      </c>
      <c r="H342" s="14" t="s">
        <v>2570</v>
      </c>
      <c r="I342" s="14" t="s">
        <v>37</v>
      </c>
      <c r="J342" s="14" t="s">
        <v>2571</v>
      </c>
      <c r="K342" s="16" t="s">
        <v>2572</v>
      </c>
      <c r="L342" s="17"/>
      <c r="M342" s="17"/>
      <c r="N342" s="11"/>
      <c r="O342" s="11"/>
    </row>
    <row r="343" ht="22.5" customHeight="1">
      <c r="A343" s="11"/>
      <c r="B343" s="12" t="s">
        <v>2573</v>
      </c>
      <c r="C343" s="14" t="s">
        <v>2574</v>
      </c>
      <c r="D343" s="14" t="s">
        <v>2575</v>
      </c>
      <c r="E343" s="14" t="s">
        <v>2576</v>
      </c>
      <c r="F343" s="14" t="s">
        <v>44</v>
      </c>
      <c r="G343" s="15" t="s">
        <v>2577</v>
      </c>
      <c r="H343" s="14" t="s">
        <v>2578</v>
      </c>
      <c r="I343" s="14" t="s">
        <v>37</v>
      </c>
      <c r="J343" s="14" t="s">
        <v>2579</v>
      </c>
      <c r="K343" s="16" t="s">
        <v>2580</v>
      </c>
      <c r="L343" s="17"/>
      <c r="M343" s="17"/>
      <c r="N343" s="11"/>
      <c r="O343" s="11"/>
    </row>
    <row r="344" ht="22.5" customHeight="1">
      <c r="A344" s="11"/>
      <c r="B344" s="12" t="s">
        <v>2581</v>
      </c>
      <c r="C344" s="14" t="s">
        <v>2582</v>
      </c>
      <c r="D344" s="14" t="s">
        <v>2583</v>
      </c>
      <c r="E344" s="14" t="s">
        <v>2584</v>
      </c>
      <c r="F344" s="14" t="s">
        <v>62</v>
      </c>
      <c r="G344" s="15" t="s">
        <v>2585</v>
      </c>
      <c r="H344" s="14" t="s">
        <v>2586</v>
      </c>
      <c r="I344" s="14" t="s">
        <v>26</v>
      </c>
      <c r="J344" s="14" t="s">
        <v>2587</v>
      </c>
      <c r="K344" s="16" t="s">
        <v>2588</v>
      </c>
      <c r="L344" s="14" t="s">
        <v>2589</v>
      </c>
      <c r="M344" s="17"/>
      <c r="N344" s="11"/>
      <c r="O344" s="11"/>
    </row>
    <row r="345" ht="22.5" customHeight="1">
      <c r="A345" s="11"/>
      <c r="B345" s="12" t="s">
        <v>2590</v>
      </c>
      <c r="C345" s="14" t="s">
        <v>2591</v>
      </c>
      <c r="D345" s="14" t="s">
        <v>2592</v>
      </c>
      <c r="E345" s="14" t="s">
        <v>2593</v>
      </c>
      <c r="F345" s="14" t="s">
        <v>23</v>
      </c>
      <c r="G345" s="15" t="s">
        <v>2594</v>
      </c>
      <c r="H345" s="14" t="s">
        <v>2595</v>
      </c>
      <c r="I345" s="14" t="s">
        <v>26</v>
      </c>
      <c r="J345" s="14" t="s">
        <v>2596</v>
      </c>
      <c r="K345" s="16" t="s">
        <v>2597</v>
      </c>
      <c r="L345" s="17"/>
      <c r="M345" s="14" t="s">
        <v>2598</v>
      </c>
      <c r="N345" s="11"/>
      <c r="O345" s="11"/>
    </row>
    <row r="346" ht="22.5" customHeight="1">
      <c r="A346" s="11"/>
      <c r="B346" s="12" t="s">
        <v>2599</v>
      </c>
      <c r="C346" s="14" t="s">
        <v>2600</v>
      </c>
      <c r="D346" s="14" t="s">
        <v>2601</v>
      </c>
      <c r="E346" s="14" t="s">
        <v>2602</v>
      </c>
      <c r="F346" s="14" t="s">
        <v>23</v>
      </c>
      <c r="G346" s="15" t="s">
        <v>2603</v>
      </c>
      <c r="H346" s="14" t="s">
        <v>2604</v>
      </c>
      <c r="I346" s="14" t="s">
        <v>399</v>
      </c>
      <c r="J346" s="14" t="s">
        <v>2605</v>
      </c>
      <c r="K346" s="16" t="s">
        <v>2606</v>
      </c>
      <c r="L346" s="17"/>
      <c r="M346" s="17"/>
      <c r="N346" s="11"/>
      <c r="O346" s="11"/>
    </row>
    <row r="347" ht="22.5" customHeight="1">
      <c r="A347" s="11"/>
      <c r="B347" s="12" t="s">
        <v>190</v>
      </c>
      <c r="C347" s="14" t="s">
        <v>191</v>
      </c>
      <c r="D347" s="14" t="s">
        <v>2607</v>
      </c>
      <c r="E347" s="14" t="s">
        <v>2608</v>
      </c>
      <c r="F347" s="14" t="s">
        <v>238</v>
      </c>
      <c r="G347" s="15" t="s">
        <v>1582</v>
      </c>
      <c r="H347" s="14" t="s">
        <v>196</v>
      </c>
      <c r="I347" s="14" t="s">
        <v>399</v>
      </c>
      <c r="J347" s="14" t="s">
        <v>2609</v>
      </c>
      <c r="K347" s="16" t="s">
        <v>197</v>
      </c>
      <c r="L347" s="17"/>
      <c r="M347" s="17"/>
      <c r="N347" s="11"/>
      <c r="O347" s="11"/>
    </row>
    <row r="348" ht="22.5" customHeight="1">
      <c r="A348" s="11"/>
      <c r="B348" s="12" t="s">
        <v>2610</v>
      </c>
      <c r="C348" s="14" t="s">
        <v>2611</v>
      </c>
      <c r="D348" s="14" t="s">
        <v>2612</v>
      </c>
      <c r="E348" s="14" t="s">
        <v>2613</v>
      </c>
      <c r="F348" s="14" t="s">
        <v>62</v>
      </c>
      <c r="G348" s="15" t="s">
        <v>2614</v>
      </c>
      <c r="H348" s="14" t="s">
        <v>2615</v>
      </c>
      <c r="I348" s="14" t="s">
        <v>26</v>
      </c>
      <c r="J348" s="14" t="s">
        <v>2616</v>
      </c>
      <c r="K348" s="16" t="s">
        <v>2617</v>
      </c>
      <c r="L348" s="17"/>
      <c r="M348" s="17"/>
      <c r="N348" s="11"/>
      <c r="O348" s="11"/>
    </row>
    <row r="349" ht="22.5" customHeight="1">
      <c r="A349" s="11"/>
      <c r="B349" s="12" t="s">
        <v>2618</v>
      </c>
      <c r="C349" s="14" t="s">
        <v>2619</v>
      </c>
      <c r="D349" s="14" t="s">
        <v>2620</v>
      </c>
      <c r="E349" s="14" t="s">
        <v>2621</v>
      </c>
      <c r="F349" s="14" t="s">
        <v>34</v>
      </c>
      <c r="G349" s="15" t="s">
        <v>2622</v>
      </c>
      <c r="H349" s="14" t="s">
        <v>2623</v>
      </c>
      <c r="I349" s="14" t="s">
        <v>26</v>
      </c>
      <c r="J349" s="14" t="s">
        <v>2624</v>
      </c>
      <c r="K349" s="16" t="s">
        <v>2625</v>
      </c>
      <c r="L349" s="17"/>
      <c r="M349" s="17"/>
      <c r="N349" s="11"/>
      <c r="O349" s="11"/>
    </row>
    <row r="350" ht="22.5" customHeight="1">
      <c r="A350" s="11"/>
      <c r="B350" s="12" t="s">
        <v>2626</v>
      </c>
      <c r="C350" s="14" t="s">
        <v>2627</v>
      </c>
      <c r="D350" s="14" t="s">
        <v>2628</v>
      </c>
      <c r="E350" s="14" t="s">
        <v>2629</v>
      </c>
      <c r="F350" s="14" t="s">
        <v>53</v>
      </c>
      <c r="G350" s="15" t="s">
        <v>2630</v>
      </c>
      <c r="H350" s="14" t="s">
        <v>2631</v>
      </c>
      <c r="I350" s="14" t="s">
        <v>37</v>
      </c>
      <c r="J350" s="14" t="s">
        <v>2632</v>
      </c>
      <c r="K350" s="16" t="s">
        <v>2633</v>
      </c>
      <c r="L350" s="17"/>
      <c r="M350" s="17"/>
      <c r="N350" s="11"/>
      <c r="O350" s="11"/>
    </row>
    <row r="351" ht="22.5" customHeight="1">
      <c r="A351" s="11"/>
      <c r="B351" s="12" t="s">
        <v>2634</v>
      </c>
      <c r="C351" s="14" t="s">
        <v>2635</v>
      </c>
      <c r="D351" s="14" t="s">
        <v>2636</v>
      </c>
      <c r="E351" s="14" t="s">
        <v>2637</v>
      </c>
      <c r="F351" s="14" t="s">
        <v>34</v>
      </c>
      <c r="G351" s="15" t="s">
        <v>2638</v>
      </c>
      <c r="H351" s="14" t="s">
        <v>2639</v>
      </c>
      <c r="I351" s="14" t="s">
        <v>399</v>
      </c>
      <c r="J351" s="14" t="s">
        <v>2640</v>
      </c>
      <c r="K351" s="16" t="s">
        <v>2641</v>
      </c>
      <c r="L351" s="17"/>
      <c r="M351" s="17"/>
      <c r="N351" s="11"/>
      <c r="O351" s="11"/>
    </row>
    <row r="352" ht="22.5" customHeight="1">
      <c r="A352" s="11"/>
      <c r="B352" s="12" t="s">
        <v>2642</v>
      </c>
      <c r="C352" s="14" t="s">
        <v>2643</v>
      </c>
      <c r="D352" s="14" t="s">
        <v>2644</v>
      </c>
      <c r="E352" s="14" t="s">
        <v>2645</v>
      </c>
      <c r="F352" s="14" t="s">
        <v>44</v>
      </c>
      <c r="G352" s="15" t="s">
        <v>2646</v>
      </c>
      <c r="H352" s="14" t="s">
        <v>2647</v>
      </c>
      <c r="I352" s="14" t="s">
        <v>37</v>
      </c>
      <c r="J352" s="14" t="s">
        <v>2648</v>
      </c>
      <c r="K352" s="16" t="s">
        <v>2649</v>
      </c>
      <c r="L352" s="17"/>
      <c r="M352" s="17"/>
      <c r="N352" s="11"/>
      <c r="O352" s="11"/>
    </row>
    <row r="353" ht="22.5" customHeight="1">
      <c r="A353" s="11"/>
      <c r="B353" s="12" t="s">
        <v>2650</v>
      </c>
      <c r="C353" s="14" t="s">
        <v>2651</v>
      </c>
      <c r="D353" s="14" t="s">
        <v>2652</v>
      </c>
      <c r="E353" s="14" t="s">
        <v>2653</v>
      </c>
      <c r="F353" s="14" t="s">
        <v>238</v>
      </c>
      <c r="G353" s="15" t="s">
        <v>2654</v>
      </c>
      <c r="H353" s="14" t="s">
        <v>2655</v>
      </c>
      <c r="I353" s="14" t="s">
        <v>399</v>
      </c>
      <c r="J353" s="14" t="s">
        <v>2656</v>
      </c>
      <c r="K353" s="16" t="s">
        <v>2657</v>
      </c>
      <c r="L353" s="17"/>
      <c r="M353" s="17"/>
      <c r="N353" s="11"/>
      <c r="O353" s="11"/>
    </row>
    <row r="354" ht="22.5" customHeight="1">
      <c r="A354" s="11"/>
      <c r="B354" s="12" t="s">
        <v>2658</v>
      </c>
      <c r="C354" s="14" t="s">
        <v>2659</v>
      </c>
      <c r="D354" s="14" t="s">
        <v>2660</v>
      </c>
      <c r="E354" s="14" t="s">
        <v>2661</v>
      </c>
      <c r="F354" s="14" t="s">
        <v>23</v>
      </c>
      <c r="G354" s="15" t="s">
        <v>2662</v>
      </c>
      <c r="H354" s="14" t="s">
        <v>2663</v>
      </c>
      <c r="I354" s="14" t="s">
        <v>26</v>
      </c>
      <c r="J354" s="14" t="s">
        <v>2664</v>
      </c>
      <c r="K354" s="16" t="s">
        <v>2665</v>
      </c>
      <c r="L354" s="17"/>
      <c r="M354" s="17"/>
      <c r="N354" s="11"/>
      <c r="O354" s="11"/>
    </row>
    <row r="355" ht="22.5" customHeight="1">
      <c r="A355" s="11"/>
      <c r="B355" s="12" t="s">
        <v>2666</v>
      </c>
      <c r="C355" s="14" t="s">
        <v>2667</v>
      </c>
      <c r="D355" s="14" t="s">
        <v>2668</v>
      </c>
      <c r="E355" s="14" t="s">
        <v>2669</v>
      </c>
      <c r="F355" s="14" t="s">
        <v>53</v>
      </c>
      <c r="G355" s="15" t="s">
        <v>2670</v>
      </c>
      <c r="H355" s="14" t="s">
        <v>2671</v>
      </c>
      <c r="I355" s="14" t="s">
        <v>37</v>
      </c>
      <c r="J355" s="14" t="s">
        <v>2672</v>
      </c>
      <c r="K355" s="16" t="s">
        <v>2673</v>
      </c>
      <c r="L355" s="17"/>
      <c r="M355" s="17"/>
      <c r="N355" s="11"/>
      <c r="O355" s="11"/>
    </row>
    <row r="356" ht="22.5" customHeight="1">
      <c r="A356" s="11"/>
      <c r="B356" s="12" t="s">
        <v>2087</v>
      </c>
      <c r="C356" s="14" t="s">
        <v>2088</v>
      </c>
      <c r="D356" s="14" t="s">
        <v>2089</v>
      </c>
      <c r="E356" s="14" t="s">
        <v>2674</v>
      </c>
      <c r="F356" s="14" t="s">
        <v>1123</v>
      </c>
      <c r="G356" s="15" t="s">
        <v>2675</v>
      </c>
      <c r="H356" s="14" t="s">
        <v>2676</v>
      </c>
      <c r="I356" s="14" t="s">
        <v>37</v>
      </c>
      <c r="J356" s="14" t="s">
        <v>2093</v>
      </c>
      <c r="K356" s="16" t="s">
        <v>2094</v>
      </c>
      <c r="L356" s="17"/>
      <c r="M356" s="17"/>
      <c r="N356" s="11"/>
      <c r="O356" s="11"/>
    </row>
    <row r="357" ht="22.5" customHeight="1">
      <c r="A357" s="11"/>
      <c r="B357" s="12" t="s">
        <v>2677</v>
      </c>
      <c r="C357" s="14" t="s">
        <v>2678</v>
      </c>
      <c r="D357" s="14" t="s">
        <v>2679</v>
      </c>
      <c r="E357" s="14" t="s">
        <v>2680</v>
      </c>
      <c r="F357" s="14" t="s">
        <v>23</v>
      </c>
      <c r="G357" s="15" t="s">
        <v>2681</v>
      </c>
      <c r="H357" s="14" t="s">
        <v>2682</v>
      </c>
      <c r="I357" s="14" t="s">
        <v>37</v>
      </c>
      <c r="J357" s="14" t="s">
        <v>2683</v>
      </c>
      <c r="K357" s="16" t="s">
        <v>2684</v>
      </c>
      <c r="L357" s="17"/>
      <c r="M357" s="17"/>
      <c r="N357" s="11"/>
      <c r="O357" s="11"/>
    </row>
    <row r="358" ht="22.5" customHeight="1">
      <c r="A358" s="11"/>
      <c r="B358" s="12" t="s">
        <v>2685</v>
      </c>
      <c r="C358" s="14" t="s">
        <v>2686</v>
      </c>
      <c r="D358" s="14" t="s">
        <v>2687</v>
      </c>
      <c r="E358" s="14" t="s">
        <v>2688</v>
      </c>
      <c r="F358" s="14" t="s">
        <v>62</v>
      </c>
      <c r="G358" s="15" t="s">
        <v>2689</v>
      </c>
      <c r="H358" s="14" t="s">
        <v>2690</v>
      </c>
      <c r="I358" s="14" t="s">
        <v>26</v>
      </c>
      <c r="J358" s="14" t="s">
        <v>2691</v>
      </c>
      <c r="K358" s="16" t="s">
        <v>2692</v>
      </c>
      <c r="L358" s="17"/>
      <c r="M358" s="17"/>
      <c r="N358" s="11"/>
      <c r="O358" s="11"/>
    </row>
    <row r="359" ht="22.5" customHeight="1">
      <c r="A359" s="11"/>
      <c r="B359" s="12" t="s">
        <v>2693</v>
      </c>
      <c r="C359" s="14" t="s">
        <v>2694</v>
      </c>
      <c r="D359" s="14" t="s">
        <v>2695</v>
      </c>
      <c r="E359" s="14" t="s">
        <v>2696</v>
      </c>
      <c r="F359" s="14" t="s">
        <v>238</v>
      </c>
      <c r="G359" s="15" t="s">
        <v>2697</v>
      </c>
      <c r="H359" s="14" t="s">
        <v>2698</v>
      </c>
      <c r="I359" s="14" t="s">
        <v>399</v>
      </c>
      <c r="J359" s="14" t="s">
        <v>2699</v>
      </c>
      <c r="K359" s="16" t="s">
        <v>2700</v>
      </c>
      <c r="L359" s="17"/>
      <c r="M359" s="17"/>
      <c r="N359" s="11"/>
      <c r="O359" s="11"/>
    </row>
    <row r="360" ht="22.5" customHeight="1">
      <c r="A360" s="11"/>
      <c r="B360" s="12" t="s">
        <v>2701</v>
      </c>
      <c r="C360" s="14" t="s">
        <v>2702</v>
      </c>
      <c r="D360" s="14" t="s">
        <v>2703</v>
      </c>
      <c r="E360" s="14" t="s">
        <v>2704</v>
      </c>
      <c r="F360" s="14" t="s">
        <v>62</v>
      </c>
      <c r="G360" s="15" t="s">
        <v>2705</v>
      </c>
      <c r="H360" s="14" t="s">
        <v>2706</v>
      </c>
      <c r="I360" s="14" t="s">
        <v>37</v>
      </c>
      <c r="J360" s="14" t="s">
        <v>2707</v>
      </c>
      <c r="K360" s="16" t="s">
        <v>2708</v>
      </c>
      <c r="L360" s="17"/>
      <c r="M360" s="17"/>
      <c r="N360" s="11"/>
      <c r="O360" s="11"/>
    </row>
    <row r="361" ht="22.5" customHeight="1">
      <c r="A361" s="11"/>
      <c r="B361" s="12" t="s">
        <v>2709</v>
      </c>
      <c r="C361" s="14" t="s">
        <v>2710</v>
      </c>
      <c r="D361" s="14" t="s">
        <v>2711</v>
      </c>
      <c r="E361" s="14" t="s">
        <v>2712</v>
      </c>
      <c r="F361" s="14" t="s">
        <v>44</v>
      </c>
      <c r="G361" s="15" t="s">
        <v>2713</v>
      </c>
      <c r="H361" s="14" t="s">
        <v>2714</v>
      </c>
      <c r="I361" s="14" t="s">
        <v>37</v>
      </c>
      <c r="J361" s="14" t="s">
        <v>2715</v>
      </c>
      <c r="K361" s="16" t="s">
        <v>2716</v>
      </c>
      <c r="L361" s="17"/>
      <c r="M361" s="17"/>
      <c r="N361" s="11"/>
      <c r="O361" s="11"/>
    </row>
    <row r="362" ht="22.5" customHeight="1">
      <c r="A362" s="11"/>
      <c r="B362" s="12" t="s">
        <v>2717</v>
      </c>
      <c r="C362" s="14" t="s">
        <v>2718</v>
      </c>
      <c r="D362" s="14" t="s">
        <v>2719</v>
      </c>
      <c r="E362" s="14" t="s">
        <v>2720</v>
      </c>
      <c r="F362" s="14" t="s">
        <v>23</v>
      </c>
      <c r="G362" s="15" t="s">
        <v>2721</v>
      </c>
      <c r="H362" s="14" t="s">
        <v>2722</v>
      </c>
      <c r="I362" s="14" t="s">
        <v>37</v>
      </c>
      <c r="J362" s="14" t="s">
        <v>2723</v>
      </c>
      <c r="K362" s="16" t="s">
        <v>2724</v>
      </c>
      <c r="L362" s="17"/>
      <c r="M362" s="17"/>
      <c r="N362" s="11"/>
      <c r="O362" s="11"/>
    </row>
    <row r="363" ht="22.5" customHeight="1">
      <c r="A363" s="11"/>
      <c r="B363" s="12" t="s">
        <v>2725</v>
      </c>
      <c r="C363" s="14" t="s">
        <v>2726</v>
      </c>
      <c r="D363" s="14" t="s">
        <v>2727</v>
      </c>
      <c r="E363" s="14" t="s">
        <v>2728</v>
      </c>
      <c r="F363" s="14" t="s">
        <v>44</v>
      </c>
      <c r="G363" s="15" t="s">
        <v>2729</v>
      </c>
      <c r="H363" s="14" t="s">
        <v>2730</v>
      </c>
      <c r="I363" s="14" t="s">
        <v>37</v>
      </c>
      <c r="J363" s="14" t="s">
        <v>2731</v>
      </c>
      <c r="K363" s="16" t="s">
        <v>2732</v>
      </c>
      <c r="L363" s="17"/>
      <c r="M363" s="17"/>
      <c r="N363" s="11"/>
      <c r="O363" s="11"/>
    </row>
    <row r="364" ht="22.5" customHeight="1">
      <c r="A364" s="11"/>
      <c r="B364" s="12" t="s">
        <v>2733</v>
      </c>
      <c r="C364" s="14" t="s">
        <v>2734</v>
      </c>
      <c r="D364" s="14" t="s">
        <v>2735</v>
      </c>
      <c r="E364" s="14" t="s">
        <v>2736</v>
      </c>
      <c r="F364" s="14" t="s">
        <v>23</v>
      </c>
      <c r="G364" s="15" t="s">
        <v>2737</v>
      </c>
      <c r="H364" s="14" t="s">
        <v>2738</v>
      </c>
      <c r="I364" s="14" t="s">
        <v>26</v>
      </c>
      <c r="J364" s="14" t="s">
        <v>2739</v>
      </c>
      <c r="K364" s="16" t="s">
        <v>2740</v>
      </c>
      <c r="L364" s="17"/>
      <c r="M364" s="17"/>
      <c r="N364" s="11"/>
      <c r="O364" s="11"/>
    </row>
    <row r="365" ht="22.5" customHeight="1">
      <c r="A365" s="11"/>
      <c r="B365" s="12" t="s">
        <v>2509</v>
      </c>
      <c r="C365" s="14" t="s">
        <v>2510</v>
      </c>
      <c r="D365" s="14" t="s">
        <v>2741</v>
      </c>
      <c r="E365" s="14" t="s">
        <v>2742</v>
      </c>
      <c r="F365" s="14" t="s">
        <v>34</v>
      </c>
      <c r="G365" s="15" t="s">
        <v>2513</v>
      </c>
      <c r="H365" s="14" t="s">
        <v>2514</v>
      </c>
      <c r="I365" s="14" t="s">
        <v>37</v>
      </c>
      <c r="J365" s="14" t="s">
        <v>2743</v>
      </c>
      <c r="K365" s="16" t="s">
        <v>2516</v>
      </c>
      <c r="L365" s="17"/>
      <c r="M365" s="17"/>
      <c r="N365" s="11"/>
      <c r="O365" s="11"/>
    </row>
    <row r="366" ht="22.5" customHeight="1">
      <c r="A366" s="11"/>
      <c r="B366" s="12" t="s">
        <v>2744</v>
      </c>
      <c r="C366" s="14" t="s">
        <v>2745</v>
      </c>
      <c r="D366" s="14" t="s">
        <v>2746</v>
      </c>
      <c r="E366" s="14" t="s">
        <v>2747</v>
      </c>
      <c r="F366" s="14" t="s">
        <v>62</v>
      </c>
      <c r="G366" s="15" t="s">
        <v>2748</v>
      </c>
      <c r="H366" s="14" t="s">
        <v>2749</v>
      </c>
      <c r="I366" s="14" t="s">
        <v>37</v>
      </c>
      <c r="J366" s="14" t="s">
        <v>2750</v>
      </c>
      <c r="K366" s="16" t="s">
        <v>2751</v>
      </c>
      <c r="L366" s="17"/>
      <c r="M366" s="17"/>
      <c r="N366" s="11"/>
      <c r="O366" s="11"/>
    </row>
    <row r="367" ht="22.5" customHeight="1">
      <c r="A367" s="11"/>
      <c r="B367" s="12" t="s">
        <v>2752</v>
      </c>
      <c r="C367" s="14" t="s">
        <v>2753</v>
      </c>
      <c r="D367" s="14" t="s">
        <v>2754</v>
      </c>
      <c r="E367" s="14" t="s">
        <v>2755</v>
      </c>
      <c r="F367" s="14" t="s">
        <v>34</v>
      </c>
      <c r="G367" s="15" t="s">
        <v>2756</v>
      </c>
      <c r="H367" s="14" t="s">
        <v>2757</v>
      </c>
      <c r="I367" s="14" t="s">
        <v>37</v>
      </c>
      <c r="J367" s="14" t="s">
        <v>2758</v>
      </c>
      <c r="K367" s="16" t="s">
        <v>2759</v>
      </c>
      <c r="L367" s="17"/>
      <c r="M367" s="17"/>
      <c r="N367" s="11"/>
      <c r="O367" s="11"/>
    </row>
    <row r="368" ht="22.5" customHeight="1">
      <c r="A368" s="11"/>
      <c r="B368" s="12" t="s">
        <v>2760</v>
      </c>
      <c r="C368" s="14" t="s">
        <v>2761</v>
      </c>
      <c r="D368" s="14" t="s">
        <v>2761</v>
      </c>
      <c r="E368" s="14" t="s">
        <v>2762</v>
      </c>
      <c r="F368" s="14" t="s">
        <v>62</v>
      </c>
      <c r="G368" s="15" t="s">
        <v>2763</v>
      </c>
      <c r="H368" s="14" t="s">
        <v>2764</v>
      </c>
      <c r="I368" s="14" t="s">
        <v>399</v>
      </c>
      <c r="J368" s="14" t="s">
        <v>2765</v>
      </c>
      <c r="K368" s="16" t="s">
        <v>2766</v>
      </c>
      <c r="L368" s="17"/>
      <c r="M368" s="17"/>
      <c r="N368" s="11"/>
      <c r="O368" s="11"/>
    </row>
    <row r="369" ht="22.5" customHeight="1">
      <c r="A369" s="11"/>
      <c r="B369" s="12" t="s">
        <v>1910</v>
      </c>
      <c r="C369" s="14" t="s">
        <v>1911</v>
      </c>
      <c r="D369" s="14" t="s">
        <v>1912</v>
      </c>
      <c r="E369" s="14" t="s">
        <v>1913</v>
      </c>
      <c r="F369" s="14" t="s">
        <v>62</v>
      </c>
      <c r="G369" s="15" t="s">
        <v>1914</v>
      </c>
      <c r="H369" s="14" t="s">
        <v>1915</v>
      </c>
      <c r="I369" s="14" t="s">
        <v>37</v>
      </c>
      <c r="J369" s="14" t="s">
        <v>1916</v>
      </c>
      <c r="K369" s="16" t="s">
        <v>2767</v>
      </c>
      <c r="L369" s="17"/>
      <c r="M369" s="17"/>
      <c r="N369" s="11"/>
      <c r="O369" s="11"/>
    </row>
    <row r="370" ht="22.5" customHeight="1">
      <c r="A370" s="11"/>
      <c r="B370" s="12" t="s">
        <v>2768</v>
      </c>
      <c r="C370" s="14" t="s">
        <v>2769</v>
      </c>
      <c r="D370" s="14" t="s">
        <v>2770</v>
      </c>
      <c r="E370" s="14" t="s">
        <v>2771</v>
      </c>
      <c r="F370" s="14" t="s">
        <v>34</v>
      </c>
      <c r="G370" s="15" t="s">
        <v>2772</v>
      </c>
      <c r="H370" s="14" t="s">
        <v>2773</v>
      </c>
      <c r="I370" s="14" t="s">
        <v>26</v>
      </c>
      <c r="J370" s="14" t="s">
        <v>2774</v>
      </c>
      <c r="K370" s="16" t="s">
        <v>2775</v>
      </c>
      <c r="L370" s="17"/>
      <c r="M370" s="17"/>
      <c r="N370" s="11"/>
      <c r="O370" s="11"/>
    </row>
    <row r="371" ht="22.5" customHeight="1">
      <c r="A371" s="11"/>
      <c r="B371" s="12" t="s">
        <v>2776</v>
      </c>
      <c r="C371" s="14" t="s">
        <v>2777</v>
      </c>
      <c r="D371" s="14" t="s">
        <v>2778</v>
      </c>
      <c r="E371" s="14" t="s">
        <v>2779</v>
      </c>
      <c r="F371" s="14" t="s">
        <v>44</v>
      </c>
      <c r="G371" s="15" t="s">
        <v>2780</v>
      </c>
      <c r="H371" s="14" t="s">
        <v>2781</v>
      </c>
      <c r="I371" s="14" t="s">
        <v>37</v>
      </c>
      <c r="J371" s="14" t="s">
        <v>2778</v>
      </c>
      <c r="K371" s="16" t="s">
        <v>2782</v>
      </c>
      <c r="L371" s="17"/>
      <c r="M371" s="17"/>
      <c r="N371" s="11"/>
      <c r="O371" s="11"/>
    </row>
    <row r="372" ht="22.5" customHeight="1">
      <c r="A372" s="11"/>
      <c r="B372" s="12" t="s">
        <v>2783</v>
      </c>
      <c r="C372" s="14" t="s">
        <v>2784</v>
      </c>
      <c r="D372" s="14" t="s">
        <v>2785</v>
      </c>
      <c r="E372" s="14" t="s">
        <v>2786</v>
      </c>
      <c r="F372" s="14" t="s">
        <v>34</v>
      </c>
      <c r="G372" s="15" t="s">
        <v>2787</v>
      </c>
      <c r="H372" s="14" t="s">
        <v>2788</v>
      </c>
      <c r="I372" s="14" t="s">
        <v>37</v>
      </c>
      <c r="J372" s="14" t="s">
        <v>2789</v>
      </c>
      <c r="K372" s="16" t="s">
        <v>2790</v>
      </c>
      <c r="L372" s="17"/>
      <c r="M372" s="17"/>
      <c r="N372" s="11"/>
      <c r="O372" s="11"/>
    </row>
    <row r="373" ht="22.5" customHeight="1">
      <c r="A373" s="11"/>
      <c r="B373" s="12" t="s">
        <v>2791</v>
      </c>
      <c r="C373" s="14" t="s">
        <v>2792</v>
      </c>
      <c r="D373" s="14" t="s">
        <v>2793</v>
      </c>
      <c r="E373" s="14" t="s">
        <v>2794</v>
      </c>
      <c r="F373" s="14" t="s">
        <v>23</v>
      </c>
      <c r="G373" s="15" t="s">
        <v>2795</v>
      </c>
      <c r="H373" s="14" t="s">
        <v>2796</v>
      </c>
      <c r="I373" s="14" t="s">
        <v>26</v>
      </c>
      <c r="J373" s="14" t="s">
        <v>2797</v>
      </c>
      <c r="K373" s="16" t="s">
        <v>2798</v>
      </c>
      <c r="L373" s="17"/>
      <c r="M373" s="17"/>
      <c r="N373" s="11"/>
      <c r="O373" s="11"/>
    </row>
    <row r="374" ht="22.5" customHeight="1">
      <c r="A374" s="11"/>
      <c r="B374" s="12" t="s">
        <v>2799</v>
      </c>
      <c r="C374" s="14" t="s">
        <v>2800</v>
      </c>
      <c r="D374" s="14" t="s">
        <v>2801</v>
      </c>
      <c r="E374" s="14" t="s">
        <v>2802</v>
      </c>
      <c r="F374" s="14" t="s">
        <v>34</v>
      </c>
      <c r="G374" s="15" t="s">
        <v>2803</v>
      </c>
      <c r="H374" s="14" t="s">
        <v>2804</v>
      </c>
      <c r="I374" s="14" t="s">
        <v>37</v>
      </c>
      <c r="J374" s="14" t="s">
        <v>2805</v>
      </c>
      <c r="K374" s="16" t="s">
        <v>2806</v>
      </c>
      <c r="L374" s="17"/>
      <c r="M374" s="17"/>
      <c r="N374" s="11"/>
      <c r="O374" s="11"/>
    </row>
    <row r="375" ht="22.5" customHeight="1">
      <c r="A375" s="11"/>
      <c r="B375" s="12" t="s">
        <v>2807</v>
      </c>
      <c r="C375" s="14" t="s">
        <v>2808</v>
      </c>
      <c r="D375" s="14" t="s">
        <v>2809</v>
      </c>
      <c r="E375" s="14" t="s">
        <v>2810</v>
      </c>
      <c r="F375" s="14" t="s">
        <v>62</v>
      </c>
      <c r="G375" s="15" t="s">
        <v>2811</v>
      </c>
      <c r="H375" s="14" t="s">
        <v>2812</v>
      </c>
      <c r="I375" s="14" t="s">
        <v>37</v>
      </c>
      <c r="J375" s="14" t="s">
        <v>2813</v>
      </c>
      <c r="K375" s="16" t="s">
        <v>2814</v>
      </c>
      <c r="L375" s="17"/>
      <c r="M375" s="17"/>
      <c r="N375" s="11"/>
      <c r="O375" s="11"/>
    </row>
    <row r="376" ht="22.5" customHeight="1">
      <c r="A376" s="11"/>
      <c r="B376" s="12" t="s">
        <v>2815</v>
      </c>
      <c r="C376" s="14" t="s">
        <v>2816</v>
      </c>
      <c r="D376" s="14" t="s">
        <v>2817</v>
      </c>
      <c r="E376" s="14" t="s">
        <v>2818</v>
      </c>
      <c r="F376" s="14" t="s">
        <v>44</v>
      </c>
      <c r="G376" s="15" t="s">
        <v>2819</v>
      </c>
      <c r="H376" s="14" t="s">
        <v>2820</v>
      </c>
      <c r="I376" s="14" t="s">
        <v>37</v>
      </c>
      <c r="J376" s="14" t="s">
        <v>2821</v>
      </c>
      <c r="K376" s="16" t="s">
        <v>2822</v>
      </c>
      <c r="L376" s="17"/>
      <c r="M376" s="17"/>
      <c r="N376" s="11"/>
      <c r="O376" s="11"/>
    </row>
    <row r="377" ht="22.5" customHeight="1">
      <c r="A377" s="11"/>
      <c r="B377" s="12" t="s">
        <v>2823</v>
      </c>
      <c r="C377" s="14" t="s">
        <v>2824</v>
      </c>
      <c r="D377" s="14" t="s">
        <v>2825</v>
      </c>
      <c r="E377" s="14" t="s">
        <v>2826</v>
      </c>
      <c r="F377" s="14" t="s">
        <v>115</v>
      </c>
      <c r="G377" s="15" t="s">
        <v>2827</v>
      </c>
      <c r="H377" s="14" t="s">
        <v>2828</v>
      </c>
      <c r="I377" s="14" t="s">
        <v>37</v>
      </c>
      <c r="J377" s="14" t="s">
        <v>2829</v>
      </c>
      <c r="K377" s="16" t="s">
        <v>2830</v>
      </c>
      <c r="L377" s="17"/>
      <c r="M377" s="17"/>
      <c r="N377" s="11"/>
      <c r="O377" s="11"/>
    </row>
    <row r="378" ht="22.5" customHeight="1">
      <c r="A378" s="11"/>
      <c r="B378" s="12" t="s">
        <v>2831</v>
      </c>
      <c r="C378" s="14" t="s">
        <v>2832</v>
      </c>
      <c r="D378" s="14" t="s">
        <v>2833</v>
      </c>
      <c r="E378" s="14" t="s">
        <v>2834</v>
      </c>
      <c r="F378" s="14" t="s">
        <v>44</v>
      </c>
      <c r="G378" s="15" t="s">
        <v>2835</v>
      </c>
      <c r="H378" s="14" t="s">
        <v>2836</v>
      </c>
      <c r="I378" s="14" t="s">
        <v>37</v>
      </c>
      <c r="J378" s="14" t="s">
        <v>2837</v>
      </c>
      <c r="K378" s="16" t="s">
        <v>2838</v>
      </c>
      <c r="L378" s="17"/>
      <c r="M378" s="17"/>
      <c r="N378" s="11"/>
      <c r="O378" s="11"/>
    </row>
    <row r="379" ht="22.5" customHeight="1">
      <c r="A379" s="11"/>
      <c r="B379" s="12" t="s">
        <v>2823</v>
      </c>
      <c r="C379" s="14" t="s">
        <v>2824</v>
      </c>
      <c r="D379" s="14" t="s">
        <v>2839</v>
      </c>
      <c r="E379" s="14" t="s">
        <v>2840</v>
      </c>
      <c r="F379" s="14" t="s">
        <v>34</v>
      </c>
      <c r="G379" s="15" t="s">
        <v>2827</v>
      </c>
      <c r="H379" s="14" t="s">
        <v>2828</v>
      </c>
      <c r="I379" s="14" t="s">
        <v>37</v>
      </c>
      <c r="J379" s="14" t="s">
        <v>2829</v>
      </c>
      <c r="K379" s="16" t="s">
        <v>2830</v>
      </c>
      <c r="L379" s="17"/>
      <c r="M379" s="17"/>
      <c r="N379" s="11"/>
      <c r="O379" s="11"/>
    </row>
    <row r="380" ht="22.5" customHeight="1">
      <c r="A380" s="11"/>
      <c r="B380" s="12" t="s">
        <v>2841</v>
      </c>
      <c r="C380" s="14" t="s">
        <v>2842</v>
      </c>
      <c r="D380" s="14" t="s">
        <v>2843</v>
      </c>
      <c r="E380" s="14" t="s">
        <v>2844</v>
      </c>
      <c r="F380" s="14" t="s">
        <v>44</v>
      </c>
      <c r="G380" s="15" t="s">
        <v>2845</v>
      </c>
      <c r="H380" s="14" t="s">
        <v>2846</v>
      </c>
      <c r="I380" s="14" t="s">
        <v>37</v>
      </c>
      <c r="J380" s="14" t="s">
        <v>2847</v>
      </c>
      <c r="K380" s="16" t="s">
        <v>2848</v>
      </c>
      <c r="L380" s="17"/>
      <c r="M380" s="17"/>
      <c r="N380" s="11"/>
      <c r="O380" s="11"/>
    </row>
    <row r="381" ht="22.5" customHeight="1">
      <c r="A381" s="11"/>
      <c r="B381" s="12" t="s">
        <v>104</v>
      </c>
      <c r="C381" s="14" t="s">
        <v>105</v>
      </c>
      <c r="D381" s="14" t="s">
        <v>2849</v>
      </c>
      <c r="E381" s="14" t="s">
        <v>2850</v>
      </c>
      <c r="F381" s="14" t="s">
        <v>34</v>
      </c>
      <c r="G381" s="15" t="s">
        <v>2851</v>
      </c>
      <c r="H381" s="14" t="s">
        <v>108</v>
      </c>
      <c r="I381" s="14" t="s">
        <v>37</v>
      </c>
      <c r="J381" s="14" t="s">
        <v>2852</v>
      </c>
      <c r="K381" s="16" t="s">
        <v>347</v>
      </c>
      <c r="L381" s="14" t="s">
        <v>2849</v>
      </c>
      <c r="M381" s="14" t="s">
        <v>2849</v>
      </c>
      <c r="N381" s="11"/>
      <c r="O381" s="11"/>
    </row>
    <row r="382" ht="22.5" customHeight="1">
      <c r="A382" s="11"/>
      <c r="B382" s="12" t="s">
        <v>2853</v>
      </c>
      <c r="C382" s="14" t="s">
        <v>2854</v>
      </c>
      <c r="D382" s="14" t="s">
        <v>2855</v>
      </c>
      <c r="E382" s="14" t="s">
        <v>2856</v>
      </c>
      <c r="F382" s="14" t="s">
        <v>23</v>
      </c>
      <c r="G382" s="15" t="s">
        <v>2857</v>
      </c>
      <c r="H382" s="14" t="s">
        <v>2858</v>
      </c>
      <c r="I382" s="14" t="s">
        <v>399</v>
      </c>
      <c r="J382" s="14" t="s">
        <v>2859</v>
      </c>
      <c r="K382" s="16" t="s">
        <v>2860</v>
      </c>
      <c r="L382" s="17"/>
      <c r="M382" s="17"/>
      <c r="N382" s="11"/>
      <c r="O382" s="11"/>
    </row>
    <row r="383" ht="22.5" customHeight="1">
      <c r="A383" s="11"/>
      <c r="B383" s="12" t="s">
        <v>2861</v>
      </c>
      <c r="C383" s="14" t="s">
        <v>2862</v>
      </c>
      <c r="D383" s="14" t="s">
        <v>2863</v>
      </c>
      <c r="E383" s="14" t="s">
        <v>2864</v>
      </c>
      <c r="F383" s="14" t="s">
        <v>34</v>
      </c>
      <c r="G383" s="15" t="s">
        <v>2865</v>
      </c>
      <c r="H383" s="14" t="s">
        <v>2866</v>
      </c>
      <c r="I383" s="14" t="s">
        <v>26</v>
      </c>
      <c r="J383" s="14" t="s">
        <v>2867</v>
      </c>
      <c r="K383" s="16" t="s">
        <v>2868</v>
      </c>
      <c r="L383" s="17"/>
      <c r="M383" s="17"/>
      <c r="N383" s="11"/>
      <c r="O383" s="11"/>
    </row>
    <row r="384" ht="22.5" customHeight="1">
      <c r="A384" s="11"/>
      <c r="B384" s="12" t="s">
        <v>2869</v>
      </c>
      <c r="C384" s="14" t="s">
        <v>2870</v>
      </c>
      <c r="D384" s="14" t="s">
        <v>2870</v>
      </c>
      <c r="E384" s="14" t="s">
        <v>1288</v>
      </c>
      <c r="F384" s="14" t="s">
        <v>115</v>
      </c>
      <c r="G384" s="15" t="s">
        <v>2871</v>
      </c>
      <c r="H384" s="14" t="s">
        <v>2872</v>
      </c>
      <c r="I384" s="14" t="s">
        <v>26</v>
      </c>
      <c r="J384" s="14" t="s">
        <v>2873</v>
      </c>
      <c r="K384" s="16" t="s">
        <v>2874</v>
      </c>
      <c r="L384" s="17"/>
      <c r="M384" s="17"/>
      <c r="N384" s="11"/>
      <c r="O384" s="11"/>
    </row>
    <row r="385" ht="22.5" customHeight="1">
      <c r="A385" s="11"/>
      <c r="B385" s="12" t="s">
        <v>2875</v>
      </c>
      <c r="C385" s="14" t="s">
        <v>2876</v>
      </c>
      <c r="D385" s="14" t="s">
        <v>2877</v>
      </c>
      <c r="E385" s="14" t="s">
        <v>2878</v>
      </c>
      <c r="F385" s="14" t="s">
        <v>34</v>
      </c>
      <c r="G385" s="15" t="s">
        <v>2879</v>
      </c>
      <c r="H385" s="14" t="s">
        <v>2880</v>
      </c>
      <c r="I385" s="14" t="s">
        <v>2881</v>
      </c>
      <c r="J385" s="14" t="s">
        <v>2882</v>
      </c>
      <c r="K385" s="16" t="s">
        <v>2883</v>
      </c>
      <c r="L385" s="14" t="s">
        <v>2884</v>
      </c>
      <c r="M385" s="14">
        <v>1576.0</v>
      </c>
      <c r="N385" s="11"/>
      <c r="O385" s="11"/>
    </row>
    <row r="386" ht="22.5" customHeight="1">
      <c r="A386" s="11"/>
      <c r="B386" s="12" t="s">
        <v>2885</v>
      </c>
      <c r="C386" s="14" t="s">
        <v>2886</v>
      </c>
      <c r="D386" s="14" t="s">
        <v>2887</v>
      </c>
      <c r="E386" s="14" t="s">
        <v>2888</v>
      </c>
      <c r="F386" s="14" t="s">
        <v>34</v>
      </c>
      <c r="G386" s="15" t="s">
        <v>2889</v>
      </c>
      <c r="H386" s="14" t="s">
        <v>2890</v>
      </c>
      <c r="I386" s="14" t="s">
        <v>399</v>
      </c>
      <c r="J386" s="14" t="s">
        <v>2891</v>
      </c>
      <c r="K386" s="16" t="s">
        <v>2892</v>
      </c>
      <c r="L386" s="17"/>
      <c r="M386" s="14" t="s">
        <v>2893</v>
      </c>
      <c r="N386" s="11"/>
      <c r="O386" s="11"/>
    </row>
    <row r="387" ht="22.5" customHeight="1">
      <c r="A387" s="11"/>
      <c r="B387" s="12" t="s">
        <v>2894</v>
      </c>
      <c r="C387" s="14" t="s">
        <v>2895</v>
      </c>
      <c r="D387" s="14" t="s">
        <v>2896</v>
      </c>
      <c r="E387" s="14" t="s">
        <v>2897</v>
      </c>
      <c r="F387" s="14" t="s">
        <v>34</v>
      </c>
      <c r="G387" s="15" t="s">
        <v>2898</v>
      </c>
      <c r="H387" s="14" t="s">
        <v>2899</v>
      </c>
      <c r="I387" s="14" t="s">
        <v>26</v>
      </c>
      <c r="J387" s="14" t="s">
        <v>2900</v>
      </c>
      <c r="K387" s="16" t="s">
        <v>2901</v>
      </c>
      <c r="L387" s="17"/>
      <c r="M387" s="17"/>
      <c r="N387" s="11"/>
      <c r="O387" s="11"/>
    </row>
    <row r="388" ht="22.5" customHeight="1">
      <c r="A388" s="11"/>
      <c r="B388" s="12" t="s">
        <v>2902</v>
      </c>
      <c r="C388" s="14" t="s">
        <v>2903</v>
      </c>
      <c r="D388" s="14" t="s">
        <v>2904</v>
      </c>
      <c r="E388" s="14" t="s">
        <v>2905</v>
      </c>
      <c r="F388" s="14" t="s">
        <v>44</v>
      </c>
      <c r="G388" s="15" t="s">
        <v>2906</v>
      </c>
      <c r="H388" s="14" t="s">
        <v>2907</v>
      </c>
      <c r="I388" s="14" t="s">
        <v>26</v>
      </c>
      <c r="J388" s="14" t="s">
        <v>2908</v>
      </c>
      <c r="K388" s="16" t="s">
        <v>2909</v>
      </c>
      <c r="L388" s="17"/>
      <c r="M388" s="17"/>
      <c r="N388" s="11"/>
      <c r="O388" s="11"/>
    </row>
    <row r="389" ht="22.5" customHeight="1">
      <c r="A389" s="11"/>
      <c r="B389" s="12" t="s">
        <v>2910</v>
      </c>
      <c r="C389" s="14" t="s">
        <v>2911</v>
      </c>
      <c r="D389" s="14" t="s">
        <v>2912</v>
      </c>
      <c r="E389" s="14" t="s">
        <v>2913</v>
      </c>
      <c r="F389" s="14" t="s">
        <v>44</v>
      </c>
      <c r="G389" s="15" t="s">
        <v>2914</v>
      </c>
      <c r="H389" s="14" t="s">
        <v>2915</v>
      </c>
      <c r="I389" s="14" t="s">
        <v>37</v>
      </c>
      <c r="J389" s="14" t="s">
        <v>2916</v>
      </c>
      <c r="K389" s="16" t="s">
        <v>2917</v>
      </c>
      <c r="L389" s="17"/>
      <c r="M389" s="17"/>
      <c r="N389" s="11"/>
      <c r="O389" s="11"/>
    </row>
    <row r="390" ht="22.5" customHeight="1">
      <c r="A390" s="11"/>
      <c r="B390" s="12" t="s">
        <v>2918</v>
      </c>
      <c r="C390" s="14" t="s">
        <v>2919</v>
      </c>
      <c r="D390" s="14" t="s">
        <v>2920</v>
      </c>
      <c r="E390" s="14" t="s">
        <v>2921</v>
      </c>
      <c r="F390" s="14" t="s">
        <v>23</v>
      </c>
      <c r="G390" s="15" t="s">
        <v>2922</v>
      </c>
      <c r="H390" s="14" t="s">
        <v>2923</v>
      </c>
      <c r="I390" s="14" t="s">
        <v>399</v>
      </c>
      <c r="J390" s="14" t="s">
        <v>2924</v>
      </c>
      <c r="K390" s="16" t="s">
        <v>2925</v>
      </c>
      <c r="L390" s="17"/>
      <c r="M390" s="17"/>
      <c r="N390" s="11"/>
      <c r="O390" s="11"/>
    </row>
    <row r="391" ht="22.5" customHeight="1">
      <c r="A391" s="11"/>
      <c r="B391" s="12" t="s">
        <v>2926</v>
      </c>
      <c r="C391" s="14" t="s">
        <v>2927</v>
      </c>
      <c r="D391" s="14" t="s">
        <v>1815</v>
      </c>
      <c r="E391" s="14" t="s">
        <v>2928</v>
      </c>
      <c r="F391" s="14" t="s">
        <v>44</v>
      </c>
      <c r="G391" s="15" t="s">
        <v>2929</v>
      </c>
      <c r="H391" s="14" t="s">
        <v>2930</v>
      </c>
      <c r="I391" s="14" t="s">
        <v>26</v>
      </c>
      <c r="J391" s="14" t="s">
        <v>2931</v>
      </c>
      <c r="K391" s="16" t="s">
        <v>2932</v>
      </c>
      <c r="L391" s="17"/>
      <c r="M391" s="17"/>
      <c r="N391" s="11"/>
      <c r="O391" s="11"/>
    </row>
    <row r="392" ht="22.5" customHeight="1">
      <c r="A392" s="11"/>
      <c r="B392" s="12" t="s">
        <v>2933</v>
      </c>
      <c r="C392" s="14" t="s">
        <v>2934</v>
      </c>
      <c r="D392" s="14" t="s">
        <v>2935</v>
      </c>
      <c r="E392" s="14" t="s">
        <v>2936</v>
      </c>
      <c r="F392" s="14" t="s">
        <v>115</v>
      </c>
      <c r="G392" s="15" t="s">
        <v>2937</v>
      </c>
      <c r="H392" s="14" t="s">
        <v>2938</v>
      </c>
      <c r="I392" s="14" t="s">
        <v>26</v>
      </c>
      <c r="J392" s="14" t="s">
        <v>2939</v>
      </c>
      <c r="K392" s="16" t="s">
        <v>2940</v>
      </c>
      <c r="L392" s="17"/>
      <c r="M392" s="17"/>
      <c r="N392" s="11"/>
      <c r="O392" s="11"/>
    </row>
    <row r="393" ht="22.5" customHeight="1">
      <c r="A393" s="11"/>
      <c r="B393" s="12" t="s">
        <v>355</v>
      </c>
      <c r="C393" s="14" t="s">
        <v>356</v>
      </c>
      <c r="D393" s="14" t="s">
        <v>2941</v>
      </c>
      <c r="E393" s="14" t="s">
        <v>2942</v>
      </c>
      <c r="F393" s="14" t="s">
        <v>34</v>
      </c>
      <c r="G393" s="15" t="s">
        <v>2943</v>
      </c>
      <c r="H393" s="14" t="s">
        <v>2944</v>
      </c>
      <c r="I393" s="14" t="s">
        <v>37</v>
      </c>
      <c r="J393" s="14" t="s">
        <v>2945</v>
      </c>
      <c r="K393" s="16" t="s">
        <v>2946</v>
      </c>
      <c r="L393" s="17"/>
      <c r="M393" s="17"/>
      <c r="N393" s="11"/>
      <c r="O393" s="11"/>
    </row>
    <row r="394" ht="22.5" customHeight="1">
      <c r="A394" s="11"/>
      <c r="B394" s="12" t="s">
        <v>2947</v>
      </c>
      <c r="C394" s="14" t="s">
        <v>2948</v>
      </c>
      <c r="D394" s="14" t="s">
        <v>2949</v>
      </c>
      <c r="E394" s="14" t="s">
        <v>2950</v>
      </c>
      <c r="F394" s="14" t="s">
        <v>34</v>
      </c>
      <c r="G394" s="15" t="s">
        <v>2951</v>
      </c>
      <c r="H394" s="14" t="s">
        <v>2952</v>
      </c>
      <c r="I394" s="14" t="s">
        <v>399</v>
      </c>
      <c r="J394" s="14" t="s">
        <v>2953</v>
      </c>
      <c r="K394" s="16" t="s">
        <v>2954</v>
      </c>
      <c r="L394" s="17"/>
      <c r="M394" s="17"/>
      <c r="N394" s="11"/>
      <c r="O394" s="11"/>
    </row>
    <row r="395" ht="22.5" customHeight="1">
      <c r="A395" s="11"/>
      <c r="B395" s="12" t="s">
        <v>2955</v>
      </c>
      <c r="C395" s="14" t="s">
        <v>2956</v>
      </c>
      <c r="D395" s="14" t="s">
        <v>2957</v>
      </c>
      <c r="E395" s="14" t="s">
        <v>2958</v>
      </c>
      <c r="F395" s="14" t="s">
        <v>62</v>
      </c>
      <c r="G395" s="15" t="s">
        <v>2959</v>
      </c>
      <c r="H395" s="14" t="s">
        <v>2960</v>
      </c>
      <c r="I395" s="14" t="s">
        <v>26</v>
      </c>
      <c r="J395" s="14" t="s">
        <v>2961</v>
      </c>
      <c r="K395" s="16" t="s">
        <v>2962</v>
      </c>
      <c r="L395" s="14" t="s">
        <v>1860</v>
      </c>
      <c r="M395" s="17"/>
      <c r="N395" s="11"/>
      <c r="O395" s="11"/>
    </row>
    <row r="396" ht="22.5" customHeight="1">
      <c r="A396" s="11"/>
      <c r="B396" s="12" t="s">
        <v>2963</v>
      </c>
      <c r="C396" s="14" t="s">
        <v>2964</v>
      </c>
      <c r="D396" s="14" t="s">
        <v>2965</v>
      </c>
      <c r="E396" s="14" t="s">
        <v>2966</v>
      </c>
      <c r="F396" s="14" t="s">
        <v>34</v>
      </c>
      <c r="G396" s="15" t="s">
        <v>2967</v>
      </c>
      <c r="H396" s="14" t="s">
        <v>2968</v>
      </c>
      <c r="I396" s="14" t="s">
        <v>37</v>
      </c>
      <c r="J396" s="14" t="s">
        <v>2969</v>
      </c>
      <c r="K396" s="16" t="s">
        <v>2970</v>
      </c>
      <c r="L396" s="17"/>
      <c r="M396" s="17"/>
      <c r="N396" s="11"/>
      <c r="O396" s="11"/>
    </row>
    <row r="397" ht="22.5" customHeight="1">
      <c r="A397" s="11"/>
      <c r="B397" s="12" t="s">
        <v>2971</v>
      </c>
      <c r="C397" s="14" t="s">
        <v>2972</v>
      </c>
      <c r="D397" s="14" t="s">
        <v>2973</v>
      </c>
      <c r="E397" s="14" t="s">
        <v>2974</v>
      </c>
      <c r="F397" s="14" t="s">
        <v>23</v>
      </c>
      <c r="G397" s="15" t="s">
        <v>2975</v>
      </c>
      <c r="H397" s="14" t="s">
        <v>2976</v>
      </c>
      <c r="I397" s="14" t="s">
        <v>26</v>
      </c>
      <c r="J397" s="14" t="s">
        <v>2977</v>
      </c>
      <c r="K397" s="16" t="s">
        <v>2978</v>
      </c>
      <c r="L397" s="17"/>
      <c r="M397" s="14" t="s">
        <v>2979</v>
      </c>
      <c r="N397" s="11"/>
      <c r="O397" s="11"/>
    </row>
    <row r="398" ht="22.5" customHeight="1">
      <c r="A398" s="11"/>
      <c r="B398" s="12" t="s">
        <v>1459</v>
      </c>
      <c r="C398" s="14" t="s">
        <v>1460</v>
      </c>
      <c r="D398" s="14" t="s">
        <v>2980</v>
      </c>
      <c r="E398" s="14" t="s">
        <v>2981</v>
      </c>
      <c r="F398" s="14" t="s">
        <v>34</v>
      </c>
      <c r="G398" s="15" t="s">
        <v>1463</v>
      </c>
      <c r="H398" s="14" t="s">
        <v>1464</v>
      </c>
      <c r="I398" s="14" t="s">
        <v>37</v>
      </c>
      <c r="J398" s="14" t="s">
        <v>1465</v>
      </c>
      <c r="K398" s="16" t="s">
        <v>1466</v>
      </c>
      <c r="L398" s="17"/>
      <c r="M398" s="17"/>
      <c r="N398" s="11"/>
      <c r="O398" s="11"/>
    </row>
    <row r="399" ht="22.5" customHeight="1">
      <c r="A399" s="11"/>
      <c r="B399" s="12" t="s">
        <v>2982</v>
      </c>
      <c r="C399" s="14" t="s">
        <v>2983</v>
      </c>
      <c r="D399" s="14" t="s">
        <v>2984</v>
      </c>
      <c r="E399" s="14" t="s">
        <v>2985</v>
      </c>
      <c r="F399" s="14" t="s">
        <v>34</v>
      </c>
      <c r="G399" s="15" t="s">
        <v>2986</v>
      </c>
      <c r="H399" s="14" t="s">
        <v>2987</v>
      </c>
      <c r="I399" s="14" t="s">
        <v>26</v>
      </c>
      <c r="J399" s="14" t="s">
        <v>2988</v>
      </c>
      <c r="K399" s="16" t="s">
        <v>2989</v>
      </c>
      <c r="L399" s="17"/>
      <c r="M399" s="17"/>
      <c r="N399" s="11"/>
      <c r="O399" s="11"/>
    </row>
    <row r="400" ht="22.5" customHeight="1">
      <c r="A400" s="11"/>
      <c r="B400" s="12" t="s">
        <v>2990</v>
      </c>
      <c r="C400" s="14" t="s">
        <v>2991</v>
      </c>
      <c r="D400" s="14" t="s">
        <v>2992</v>
      </c>
      <c r="E400" s="14" t="s">
        <v>2993</v>
      </c>
      <c r="F400" s="14" t="s">
        <v>62</v>
      </c>
      <c r="G400" s="15" t="s">
        <v>2994</v>
      </c>
      <c r="H400" s="14" t="s">
        <v>2995</v>
      </c>
      <c r="I400" s="14" t="s">
        <v>37</v>
      </c>
      <c r="J400" s="14" t="s">
        <v>2996</v>
      </c>
      <c r="K400" s="16" t="s">
        <v>2997</v>
      </c>
      <c r="L400" s="17"/>
      <c r="M400" s="17"/>
      <c r="N400" s="11"/>
      <c r="O400" s="11"/>
    </row>
    <row r="401" ht="22.5" customHeight="1">
      <c r="A401" s="11"/>
      <c r="B401" s="12" t="s">
        <v>2998</v>
      </c>
      <c r="C401" s="14" t="s">
        <v>2999</v>
      </c>
      <c r="D401" s="14" t="s">
        <v>3000</v>
      </c>
      <c r="E401" s="14" t="s">
        <v>3001</v>
      </c>
      <c r="F401" s="14" t="s">
        <v>62</v>
      </c>
      <c r="G401" s="15" t="s">
        <v>3002</v>
      </c>
      <c r="H401" s="14" t="s">
        <v>3003</v>
      </c>
      <c r="I401" s="14" t="s">
        <v>37</v>
      </c>
      <c r="J401" s="14" t="s">
        <v>3004</v>
      </c>
      <c r="K401" s="16" t="s">
        <v>3005</v>
      </c>
      <c r="L401" s="17"/>
      <c r="M401" s="17"/>
      <c r="N401" s="11"/>
      <c r="O401" s="11"/>
    </row>
    <row r="402" ht="22.5" customHeight="1">
      <c r="A402" s="11"/>
      <c r="B402" s="12" t="s">
        <v>3006</v>
      </c>
      <c r="C402" s="14" t="s">
        <v>3007</v>
      </c>
      <c r="D402" s="14" t="s">
        <v>3008</v>
      </c>
      <c r="E402" s="14" t="s">
        <v>3009</v>
      </c>
      <c r="F402" s="14" t="s">
        <v>44</v>
      </c>
      <c r="G402" s="15" t="s">
        <v>3010</v>
      </c>
      <c r="H402" s="14" t="s">
        <v>3011</v>
      </c>
      <c r="I402" s="14" t="s">
        <v>37</v>
      </c>
      <c r="J402" s="14" t="s">
        <v>3012</v>
      </c>
      <c r="K402" s="16" t="s">
        <v>3013</v>
      </c>
      <c r="L402" s="17"/>
      <c r="M402" s="17"/>
      <c r="N402" s="11"/>
      <c r="O402" s="11"/>
    </row>
    <row r="403" ht="22.5" customHeight="1">
      <c r="A403" s="11"/>
      <c r="B403" s="12" t="s">
        <v>3014</v>
      </c>
      <c r="C403" s="14" t="s">
        <v>3015</v>
      </c>
      <c r="D403" s="14" t="s">
        <v>3016</v>
      </c>
      <c r="E403" s="14" t="s">
        <v>3017</v>
      </c>
      <c r="F403" s="14" t="s">
        <v>23</v>
      </c>
      <c r="G403" s="15" t="s">
        <v>3018</v>
      </c>
      <c r="H403" s="14" t="s">
        <v>3019</v>
      </c>
      <c r="I403" s="14" t="s">
        <v>399</v>
      </c>
      <c r="J403" s="14" t="s">
        <v>3020</v>
      </c>
      <c r="K403" s="16" t="s">
        <v>3021</v>
      </c>
      <c r="L403" s="17"/>
      <c r="M403" s="14" t="s">
        <v>3022</v>
      </c>
      <c r="N403" s="11"/>
      <c r="O403" s="11"/>
    </row>
    <row r="404" ht="22.5" customHeight="1">
      <c r="A404" s="11"/>
      <c r="B404" s="12" t="s">
        <v>3023</v>
      </c>
      <c r="C404" s="14" t="s">
        <v>3024</v>
      </c>
      <c r="D404" s="14" t="s">
        <v>3025</v>
      </c>
      <c r="E404" s="14" t="s">
        <v>3026</v>
      </c>
      <c r="F404" s="14" t="s">
        <v>44</v>
      </c>
      <c r="G404" s="15" t="s">
        <v>3027</v>
      </c>
      <c r="H404" s="14" t="s">
        <v>3028</v>
      </c>
      <c r="I404" s="14" t="s">
        <v>37</v>
      </c>
      <c r="J404" s="14" t="s">
        <v>3029</v>
      </c>
      <c r="K404" s="16" t="s">
        <v>3030</v>
      </c>
      <c r="L404" s="14" t="s">
        <v>3031</v>
      </c>
      <c r="M404" s="14" t="s">
        <v>3031</v>
      </c>
      <c r="N404" s="11"/>
      <c r="O404" s="11"/>
    </row>
    <row r="405" ht="22.5" customHeight="1">
      <c r="A405" s="11"/>
      <c r="B405" s="12" t="s">
        <v>3032</v>
      </c>
      <c r="C405" s="14" t="s">
        <v>3033</v>
      </c>
      <c r="D405" s="14" t="s">
        <v>3034</v>
      </c>
      <c r="E405" s="14" t="s">
        <v>3035</v>
      </c>
      <c r="F405" s="14" t="s">
        <v>34</v>
      </c>
      <c r="G405" s="15" t="s">
        <v>3036</v>
      </c>
      <c r="H405" s="14" t="s">
        <v>3037</v>
      </c>
      <c r="I405" s="14" t="s">
        <v>37</v>
      </c>
      <c r="J405" s="14" t="s">
        <v>3038</v>
      </c>
      <c r="K405" s="16" t="s">
        <v>3039</v>
      </c>
      <c r="L405" s="17"/>
      <c r="M405" s="17"/>
      <c r="N405" s="11"/>
      <c r="O405" s="11"/>
    </row>
    <row r="406" ht="22.5" customHeight="1">
      <c r="A406" s="11"/>
      <c r="B406" s="12" t="s">
        <v>3040</v>
      </c>
      <c r="C406" s="14" t="s">
        <v>3041</v>
      </c>
      <c r="D406" s="14" t="s">
        <v>3042</v>
      </c>
      <c r="E406" s="14" t="s">
        <v>3043</v>
      </c>
      <c r="F406" s="14" t="s">
        <v>44</v>
      </c>
      <c r="G406" s="15" t="s">
        <v>3044</v>
      </c>
      <c r="H406" s="14" t="s">
        <v>3045</v>
      </c>
      <c r="I406" s="14" t="s">
        <v>37</v>
      </c>
      <c r="J406" s="14" t="s">
        <v>3046</v>
      </c>
      <c r="K406" s="16" t="s">
        <v>3047</v>
      </c>
      <c r="L406" s="14" t="s">
        <v>3048</v>
      </c>
      <c r="M406" s="14" t="s">
        <v>3049</v>
      </c>
      <c r="N406" s="11"/>
      <c r="O406" s="11"/>
    </row>
    <row r="407" ht="22.5" customHeight="1">
      <c r="A407" s="11"/>
      <c r="B407" s="12" t="s">
        <v>3050</v>
      </c>
      <c r="C407" s="14" t="s">
        <v>3051</v>
      </c>
      <c r="D407" s="14" t="s">
        <v>3052</v>
      </c>
      <c r="E407" s="14" t="s">
        <v>3053</v>
      </c>
      <c r="F407" s="14" t="s">
        <v>34</v>
      </c>
      <c r="G407" s="15" t="s">
        <v>3054</v>
      </c>
      <c r="H407" s="14" t="s">
        <v>3055</v>
      </c>
      <c r="I407" s="14" t="s">
        <v>399</v>
      </c>
      <c r="J407" s="14" t="s">
        <v>3056</v>
      </c>
      <c r="K407" s="16" t="s">
        <v>3057</v>
      </c>
      <c r="L407" s="17"/>
      <c r="M407" s="17"/>
      <c r="N407" s="11"/>
      <c r="O407" s="11"/>
    </row>
    <row r="408" ht="22.5" customHeight="1">
      <c r="A408" s="11"/>
      <c r="B408" s="12" t="s">
        <v>3058</v>
      </c>
      <c r="C408" s="14" t="s">
        <v>3059</v>
      </c>
      <c r="D408" s="14" t="s">
        <v>3060</v>
      </c>
      <c r="E408" s="14" t="s">
        <v>3061</v>
      </c>
      <c r="F408" s="14" t="s">
        <v>34</v>
      </c>
      <c r="G408" s="15" t="s">
        <v>3062</v>
      </c>
      <c r="H408" s="14" t="s">
        <v>3063</v>
      </c>
      <c r="I408" s="14" t="s">
        <v>37</v>
      </c>
      <c r="J408" s="14" t="s">
        <v>3064</v>
      </c>
      <c r="K408" s="16" t="s">
        <v>3065</v>
      </c>
      <c r="L408" s="17"/>
      <c r="M408" s="17"/>
      <c r="N408" s="11"/>
      <c r="O408" s="11"/>
    </row>
    <row r="409" ht="22.5" customHeight="1">
      <c r="A409" s="11"/>
      <c r="B409" s="12" t="s">
        <v>3066</v>
      </c>
      <c r="C409" s="14" t="s">
        <v>3067</v>
      </c>
      <c r="D409" s="14" t="s">
        <v>3068</v>
      </c>
      <c r="E409" s="14" t="s">
        <v>3069</v>
      </c>
      <c r="F409" s="14" t="s">
        <v>34</v>
      </c>
      <c r="G409" s="15" t="s">
        <v>3070</v>
      </c>
      <c r="H409" s="14" t="s">
        <v>3071</v>
      </c>
      <c r="I409" s="14" t="s">
        <v>26</v>
      </c>
      <c r="J409" s="14" t="s">
        <v>3072</v>
      </c>
      <c r="K409" s="16" t="s">
        <v>3073</v>
      </c>
      <c r="L409" s="17"/>
      <c r="M409" s="17"/>
      <c r="N409" s="11"/>
      <c r="O409" s="11"/>
    </row>
    <row r="410" ht="22.5" customHeight="1">
      <c r="A410" s="11"/>
      <c r="B410" s="12" t="s">
        <v>3074</v>
      </c>
      <c r="C410" s="14" t="s">
        <v>3075</v>
      </c>
      <c r="D410" s="14" t="s">
        <v>3076</v>
      </c>
      <c r="E410" s="14" t="s">
        <v>3077</v>
      </c>
      <c r="F410" s="14" t="s">
        <v>44</v>
      </c>
      <c r="G410" s="15" t="s">
        <v>3078</v>
      </c>
      <c r="H410" s="14" t="s">
        <v>3079</v>
      </c>
      <c r="I410" s="14" t="s">
        <v>2881</v>
      </c>
      <c r="J410" s="14" t="s">
        <v>3080</v>
      </c>
      <c r="K410" s="16" t="s">
        <v>3081</v>
      </c>
      <c r="L410" s="14" t="s">
        <v>3082</v>
      </c>
      <c r="M410" s="17"/>
      <c r="N410" s="11"/>
      <c r="O410" s="11"/>
    </row>
    <row r="411" ht="22.5" customHeight="1">
      <c r="A411" s="11"/>
      <c r="B411" s="12" t="s">
        <v>3083</v>
      </c>
      <c r="C411" s="14" t="s">
        <v>3084</v>
      </c>
      <c r="D411" s="14" t="s">
        <v>3085</v>
      </c>
      <c r="E411" s="14" t="s">
        <v>3086</v>
      </c>
      <c r="F411" s="14" t="s">
        <v>34</v>
      </c>
      <c r="G411" s="15" t="s">
        <v>3087</v>
      </c>
      <c r="H411" s="14" t="s">
        <v>3088</v>
      </c>
      <c r="I411" s="14" t="s">
        <v>26</v>
      </c>
      <c r="J411" s="14" t="s">
        <v>3089</v>
      </c>
      <c r="K411" s="16" t="s">
        <v>3090</v>
      </c>
      <c r="L411" s="17"/>
      <c r="M411" s="17"/>
      <c r="N411" s="11"/>
      <c r="O411" s="11"/>
    </row>
    <row r="412" ht="22.5" customHeight="1">
      <c r="A412" s="11"/>
      <c r="B412" s="12" t="s">
        <v>3091</v>
      </c>
      <c r="C412" s="14" t="s">
        <v>3092</v>
      </c>
      <c r="D412" s="14" t="s">
        <v>3093</v>
      </c>
      <c r="E412" s="14" t="s">
        <v>3094</v>
      </c>
      <c r="F412" s="14" t="s">
        <v>1156</v>
      </c>
      <c r="G412" s="15" t="s">
        <v>3095</v>
      </c>
      <c r="H412" s="14" t="s">
        <v>3096</v>
      </c>
      <c r="I412" s="14" t="s">
        <v>37</v>
      </c>
      <c r="J412" s="14" t="s">
        <v>3097</v>
      </c>
      <c r="K412" s="16" t="s">
        <v>3098</v>
      </c>
      <c r="L412" s="17"/>
      <c r="M412" s="17"/>
      <c r="N412" s="11"/>
      <c r="O412" s="11"/>
    </row>
    <row r="413" ht="22.5" customHeight="1">
      <c r="A413" s="11"/>
      <c r="B413" s="12" t="s">
        <v>3099</v>
      </c>
      <c r="C413" s="14" t="s">
        <v>3100</v>
      </c>
      <c r="D413" s="14" t="s">
        <v>3101</v>
      </c>
      <c r="E413" s="14" t="s">
        <v>3102</v>
      </c>
      <c r="F413" s="14" t="s">
        <v>44</v>
      </c>
      <c r="G413" s="15" t="s">
        <v>3103</v>
      </c>
      <c r="H413" s="14" t="s">
        <v>3104</v>
      </c>
      <c r="I413" s="14" t="s">
        <v>26</v>
      </c>
      <c r="J413" s="14" t="s">
        <v>3105</v>
      </c>
      <c r="K413" s="16" t="s">
        <v>3106</v>
      </c>
      <c r="L413" s="17"/>
      <c r="M413" s="14" t="s">
        <v>3107</v>
      </c>
      <c r="N413" s="11"/>
      <c r="O413" s="11"/>
    </row>
    <row r="414" ht="22.5" customHeight="1">
      <c r="A414" s="11"/>
      <c r="B414" s="12" t="s">
        <v>3108</v>
      </c>
      <c r="C414" s="14" t="s">
        <v>3109</v>
      </c>
      <c r="D414" s="14" t="s">
        <v>3110</v>
      </c>
      <c r="E414" s="14" t="s">
        <v>3111</v>
      </c>
      <c r="F414" s="14" t="s">
        <v>34</v>
      </c>
      <c r="G414" s="15" t="s">
        <v>3112</v>
      </c>
      <c r="H414" s="14" t="s">
        <v>3113</v>
      </c>
      <c r="I414" s="14" t="s">
        <v>37</v>
      </c>
      <c r="J414" s="14" t="s">
        <v>3114</v>
      </c>
      <c r="K414" s="16" t="s">
        <v>3115</v>
      </c>
      <c r="L414" s="17"/>
      <c r="M414" s="14" t="s">
        <v>3116</v>
      </c>
      <c r="N414" s="11"/>
      <c r="O414" s="11"/>
    </row>
    <row r="415" ht="22.5" customHeight="1">
      <c r="A415" s="11"/>
      <c r="B415" s="12" t="s">
        <v>3117</v>
      </c>
      <c r="C415" s="14" t="s">
        <v>3118</v>
      </c>
      <c r="D415" s="14" t="s">
        <v>3119</v>
      </c>
      <c r="E415" s="14" t="s">
        <v>3120</v>
      </c>
      <c r="F415" s="14" t="s">
        <v>34</v>
      </c>
      <c r="G415" s="15" t="s">
        <v>3121</v>
      </c>
      <c r="H415" s="14" t="s">
        <v>3122</v>
      </c>
      <c r="I415" s="14" t="s">
        <v>26</v>
      </c>
      <c r="J415" s="14" t="s">
        <v>3123</v>
      </c>
      <c r="K415" s="16" t="s">
        <v>3124</v>
      </c>
      <c r="L415" s="17"/>
      <c r="M415" s="17"/>
      <c r="N415" s="11"/>
      <c r="O415" s="11"/>
    </row>
    <row r="416" ht="22.5" customHeight="1">
      <c r="A416" s="11"/>
      <c r="B416" s="12" t="s">
        <v>3117</v>
      </c>
      <c r="C416" s="14" t="s">
        <v>3118</v>
      </c>
      <c r="D416" s="14" t="s">
        <v>3119</v>
      </c>
      <c r="E416" s="14" t="s">
        <v>3125</v>
      </c>
      <c r="F416" s="14" t="s">
        <v>34</v>
      </c>
      <c r="G416" s="15" t="s">
        <v>3121</v>
      </c>
      <c r="H416" s="14" t="s">
        <v>3122</v>
      </c>
      <c r="I416" s="14" t="s">
        <v>26</v>
      </c>
      <c r="J416" s="14" t="s">
        <v>3123</v>
      </c>
      <c r="K416" s="16" t="s">
        <v>3124</v>
      </c>
      <c r="L416" s="17"/>
      <c r="M416" s="17"/>
      <c r="N416" s="11"/>
      <c r="O416" s="11"/>
    </row>
    <row r="417" ht="22.5" customHeight="1">
      <c r="A417" s="11"/>
      <c r="B417" s="12" t="s">
        <v>3126</v>
      </c>
      <c r="C417" s="14" t="s">
        <v>3127</v>
      </c>
      <c r="D417" s="14" t="s">
        <v>3128</v>
      </c>
      <c r="E417" s="14" t="s">
        <v>3129</v>
      </c>
      <c r="F417" s="14" t="s">
        <v>44</v>
      </c>
      <c r="G417" s="15" t="s">
        <v>3130</v>
      </c>
      <c r="H417" s="14" t="s">
        <v>3131</v>
      </c>
      <c r="I417" s="14" t="s">
        <v>37</v>
      </c>
      <c r="J417" s="14" t="s">
        <v>3132</v>
      </c>
      <c r="K417" s="16" t="s">
        <v>3133</v>
      </c>
      <c r="L417" s="17"/>
      <c r="M417" s="17"/>
      <c r="N417" s="11"/>
      <c r="O417" s="11"/>
    </row>
    <row r="418" ht="22.5" customHeight="1">
      <c r="A418" s="11"/>
      <c r="B418" s="12" t="s">
        <v>3134</v>
      </c>
      <c r="C418" s="14" t="s">
        <v>3135</v>
      </c>
      <c r="D418" s="14" t="s">
        <v>3136</v>
      </c>
      <c r="E418" s="14" t="s">
        <v>3137</v>
      </c>
      <c r="F418" s="14" t="s">
        <v>44</v>
      </c>
      <c r="G418" s="15" t="s">
        <v>3138</v>
      </c>
      <c r="H418" s="14" t="s">
        <v>3139</v>
      </c>
      <c r="I418" s="14" t="s">
        <v>399</v>
      </c>
      <c r="J418" s="14" t="s">
        <v>3140</v>
      </c>
      <c r="K418" s="16" t="s">
        <v>3141</v>
      </c>
      <c r="L418" s="17"/>
      <c r="M418" s="17"/>
      <c r="N418" s="11"/>
      <c r="O418" s="11"/>
    </row>
    <row r="419" ht="22.5" customHeight="1">
      <c r="A419" s="11"/>
      <c r="B419" s="12" t="s">
        <v>3142</v>
      </c>
      <c r="C419" s="14" t="s">
        <v>3143</v>
      </c>
      <c r="D419" s="14" t="s">
        <v>3144</v>
      </c>
      <c r="E419" s="14" t="s">
        <v>3145</v>
      </c>
      <c r="F419" s="14" t="s">
        <v>238</v>
      </c>
      <c r="G419" s="15" t="s">
        <v>3146</v>
      </c>
      <c r="H419" s="14" t="s">
        <v>3147</v>
      </c>
      <c r="I419" s="14" t="s">
        <v>399</v>
      </c>
      <c r="J419" s="14" t="s">
        <v>3148</v>
      </c>
      <c r="K419" s="16" t="s">
        <v>3149</v>
      </c>
      <c r="L419" s="17"/>
      <c r="M419" s="17"/>
      <c r="N419" s="11"/>
      <c r="O419" s="11"/>
    </row>
    <row r="420" ht="22.5" customHeight="1">
      <c r="A420" s="11"/>
      <c r="B420" s="12" t="s">
        <v>3150</v>
      </c>
      <c r="C420" s="14" t="s">
        <v>3151</v>
      </c>
      <c r="D420" s="14" t="s">
        <v>3152</v>
      </c>
      <c r="E420" s="14" t="s">
        <v>3153</v>
      </c>
      <c r="F420" s="14" t="s">
        <v>34</v>
      </c>
      <c r="G420" s="15" t="s">
        <v>3154</v>
      </c>
      <c r="H420" s="14" t="s">
        <v>3155</v>
      </c>
      <c r="I420" s="14" t="s">
        <v>26</v>
      </c>
      <c r="J420" s="14" t="s">
        <v>3156</v>
      </c>
      <c r="K420" s="16" t="s">
        <v>3157</v>
      </c>
      <c r="L420" s="17"/>
      <c r="M420" s="17"/>
      <c r="N420" s="11"/>
      <c r="O420" s="11"/>
    </row>
    <row r="421" ht="22.5" customHeight="1">
      <c r="A421" s="11"/>
      <c r="B421" s="12" t="s">
        <v>3158</v>
      </c>
      <c r="C421" s="14" t="s">
        <v>3159</v>
      </c>
      <c r="D421" s="14" t="s">
        <v>3160</v>
      </c>
      <c r="E421" s="14" t="s">
        <v>3161</v>
      </c>
      <c r="F421" s="14" t="s">
        <v>1274</v>
      </c>
      <c r="G421" s="15" t="s">
        <v>3162</v>
      </c>
      <c r="H421" s="14" t="s">
        <v>3163</v>
      </c>
      <c r="I421" s="14" t="s">
        <v>37</v>
      </c>
      <c r="J421" s="14" t="s">
        <v>3164</v>
      </c>
      <c r="K421" s="16" t="s">
        <v>3165</v>
      </c>
      <c r="L421" s="17"/>
      <c r="M421" s="17"/>
      <c r="N421" s="11"/>
      <c r="O421" s="11"/>
    </row>
    <row r="422" ht="22.5" customHeight="1">
      <c r="A422" s="11"/>
      <c r="B422" s="12" t="s">
        <v>3166</v>
      </c>
      <c r="C422" s="14" t="s">
        <v>3167</v>
      </c>
      <c r="D422" s="14" t="s">
        <v>3168</v>
      </c>
      <c r="E422" s="14" t="s">
        <v>3169</v>
      </c>
      <c r="F422" s="14" t="s">
        <v>62</v>
      </c>
      <c r="G422" s="15" t="s">
        <v>3170</v>
      </c>
      <c r="H422" s="14" t="s">
        <v>3171</v>
      </c>
      <c r="I422" s="14" t="s">
        <v>2881</v>
      </c>
      <c r="J422" s="14" t="s">
        <v>3172</v>
      </c>
      <c r="K422" s="16" t="s">
        <v>3173</v>
      </c>
      <c r="L422" s="17"/>
      <c r="M422" s="17"/>
      <c r="N422" s="11"/>
      <c r="O422" s="11"/>
    </row>
    <row r="423" ht="22.5" customHeight="1">
      <c r="A423" s="11"/>
      <c r="B423" s="12" t="s">
        <v>3174</v>
      </c>
      <c r="C423" s="14" t="s">
        <v>3175</v>
      </c>
      <c r="D423" s="14" t="s">
        <v>3176</v>
      </c>
      <c r="E423" s="14" t="s">
        <v>3177</v>
      </c>
      <c r="F423" s="14" t="s">
        <v>44</v>
      </c>
      <c r="G423" s="15" t="s">
        <v>3178</v>
      </c>
      <c r="H423" s="14" t="s">
        <v>3179</v>
      </c>
      <c r="I423" s="14" t="s">
        <v>26</v>
      </c>
      <c r="J423" s="14" t="s">
        <v>3180</v>
      </c>
      <c r="K423" s="16" t="s">
        <v>3181</v>
      </c>
      <c r="L423" s="17"/>
      <c r="M423" s="14" t="s">
        <v>3182</v>
      </c>
      <c r="N423" s="11"/>
      <c r="O423" s="11"/>
    </row>
    <row r="424" ht="22.5" customHeight="1">
      <c r="A424" s="11"/>
      <c r="B424" s="12" t="s">
        <v>3183</v>
      </c>
      <c r="C424" s="14" t="s">
        <v>3184</v>
      </c>
      <c r="D424" s="14" t="s">
        <v>3185</v>
      </c>
      <c r="E424" s="14" t="s">
        <v>3186</v>
      </c>
      <c r="F424" s="14" t="s">
        <v>34</v>
      </c>
      <c r="G424" s="15" t="s">
        <v>3187</v>
      </c>
      <c r="H424" s="14" t="s">
        <v>3188</v>
      </c>
      <c r="I424" s="14" t="s">
        <v>37</v>
      </c>
      <c r="J424" s="14" t="s">
        <v>3189</v>
      </c>
      <c r="K424" s="16" t="s">
        <v>3190</v>
      </c>
      <c r="L424" s="17"/>
      <c r="M424" s="17"/>
      <c r="N424" s="11"/>
      <c r="O424" s="11"/>
    </row>
    <row r="425" ht="22.5" customHeight="1">
      <c r="A425" s="11"/>
      <c r="B425" s="12" t="s">
        <v>3191</v>
      </c>
      <c r="C425" s="14" t="s">
        <v>3192</v>
      </c>
      <c r="D425" s="14" t="s">
        <v>3193</v>
      </c>
      <c r="E425" s="14" t="s">
        <v>3194</v>
      </c>
      <c r="F425" s="14" t="s">
        <v>62</v>
      </c>
      <c r="G425" s="15" t="s">
        <v>3195</v>
      </c>
      <c r="H425" s="14" t="s">
        <v>3196</v>
      </c>
      <c r="I425" s="14" t="s">
        <v>2881</v>
      </c>
      <c r="J425" s="14" t="s">
        <v>3197</v>
      </c>
      <c r="K425" s="16" t="s">
        <v>3198</v>
      </c>
      <c r="L425" s="17"/>
      <c r="M425" s="17"/>
      <c r="N425" s="11"/>
      <c r="O425" s="11"/>
    </row>
    <row r="426" ht="22.5" customHeight="1">
      <c r="A426" s="11"/>
      <c r="B426" s="12" t="s">
        <v>3199</v>
      </c>
      <c r="C426" s="14" t="s">
        <v>3200</v>
      </c>
      <c r="D426" s="14" t="s">
        <v>3200</v>
      </c>
      <c r="E426" s="14" t="s">
        <v>3201</v>
      </c>
      <c r="F426" s="14" t="s">
        <v>62</v>
      </c>
      <c r="G426" s="15" t="s">
        <v>3202</v>
      </c>
      <c r="H426" s="14" t="s">
        <v>3203</v>
      </c>
      <c r="I426" s="14" t="s">
        <v>2881</v>
      </c>
      <c r="J426" s="14" t="s">
        <v>3204</v>
      </c>
      <c r="K426" s="16" t="s">
        <v>3205</v>
      </c>
      <c r="L426" s="17"/>
      <c r="M426" s="14" t="s">
        <v>3206</v>
      </c>
      <c r="N426" s="11"/>
      <c r="O426" s="11"/>
    </row>
    <row r="427" ht="22.5" customHeight="1">
      <c r="A427" s="11"/>
      <c r="B427" s="12" t="s">
        <v>3207</v>
      </c>
      <c r="C427" s="14" t="s">
        <v>3208</v>
      </c>
      <c r="D427" s="14" t="s">
        <v>3209</v>
      </c>
      <c r="E427" s="14" t="s">
        <v>3210</v>
      </c>
      <c r="F427" s="14" t="s">
        <v>44</v>
      </c>
      <c r="G427" s="15" t="s">
        <v>3211</v>
      </c>
      <c r="H427" s="14" t="s">
        <v>3212</v>
      </c>
      <c r="I427" s="14" t="s">
        <v>2881</v>
      </c>
      <c r="J427" s="14" t="s">
        <v>3213</v>
      </c>
      <c r="K427" s="16" t="s">
        <v>3214</v>
      </c>
      <c r="L427" s="14" t="s">
        <v>3215</v>
      </c>
      <c r="M427" s="14" t="s">
        <v>1861</v>
      </c>
      <c r="N427" s="11"/>
      <c r="O427" s="11"/>
    </row>
    <row r="428" ht="22.5" customHeight="1">
      <c r="A428" s="11"/>
      <c r="B428" s="12" t="s">
        <v>3216</v>
      </c>
      <c r="C428" s="14" t="s">
        <v>3217</v>
      </c>
      <c r="D428" s="14" t="s">
        <v>3218</v>
      </c>
      <c r="E428" s="14" t="s">
        <v>3219</v>
      </c>
      <c r="F428" s="14" t="s">
        <v>34</v>
      </c>
      <c r="G428" s="15" t="s">
        <v>3220</v>
      </c>
      <c r="H428" s="14" t="s">
        <v>3221</v>
      </c>
      <c r="I428" s="14" t="s">
        <v>2881</v>
      </c>
      <c r="J428" s="14" t="s">
        <v>3222</v>
      </c>
      <c r="K428" s="16" t="s">
        <v>3223</v>
      </c>
      <c r="L428" s="17"/>
      <c r="M428" s="17"/>
      <c r="N428" s="11"/>
      <c r="O428" s="11"/>
    </row>
    <row r="429" ht="22.5" customHeight="1">
      <c r="A429" s="11"/>
      <c r="B429" s="12" t="s">
        <v>3224</v>
      </c>
      <c r="C429" s="14" t="s">
        <v>3225</v>
      </c>
      <c r="D429" s="14" t="s">
        <v>3226</v>
      </c>
      <c r="E429" s="14" t="s">
        <v>3227</v>
      </c>
      <c r="F429" s="14" t="s">
        <v>238</v>
      </c>
      <c r="G429" s="15" t="s">
        <v>3228</v>
      </c>
      <c r="H429" s="14" t="s">
        <v>3229</v>
      </c>
      <c r="I429" s="14" t="s">
        <v>26</v>
      </c>
      <c r="J429" s="14" t="s">
        <v>3230</v>
      </c>
      <c r="K429" s="16" t="s">
        <v>3231</v>
      </c>
      <c r="L429" s="17"/>
      <c r="M429" s="17"/>
      <c r="N429" s="11"/>
      <c r="O429" s="11"/>
    </row>
    <row r="430" ht="22.5" customHeight="1">
      <c r="A430" s="11"/>
      <c r="B430" s="12" t="s">
        <v>3232</v>
      </c>
      <c r="C430" s="14" t="s">
        <v>3233</v>
      </c>
      <c r="D430" s="14" t="s">
        <v>3234</v>
      </c>
      <c r="E430" s="14" t="s">
        <v>3235</v>
      </c>
      <c r="F430" s="14" t="s">
        <v>23</v>
      </c>
      <c r="G430" s="15" t="s">
        <v>3236</v>
      </c>
      <c r="H430" s="14" t="s">
        <v>3237</v>
      </c>
      <c r="I430" s="14" t="s">
        <v>2881</v>
      </c>
      <c r="J430" s="14" t="s">
        <v>3238</v>
      </c>
      <c r="K430" s="16" t="s">
        <v>3239</v>
      </c>
      <c r="L430" s="14" t="s">
        <v>3240</v>
      </c>
      <c r="M430" s="14" t="s">
        <v>3241</v>
      </c>
      <c r="N430" s="11"/>
      <c r="O430" s="11"/>
    </row>
    <row r="431" ht="22.5" customHeight="1">
      <c r="A431" s="11"/>
      <c r="B431" s="12" t="s">
        <v>3242</v>
      </c>
      <c r="C431" s="14" t="s">
        <v>3243</v>
      </c>
      <c r="D431" s="14" t="s">
        <v>3244</v>
      </c>
      <c r="E431" s="14" t="s">
        <v>3245</v>
      </c>
      <c r="F431" s="14" t="s">
        <v>62</v>
      </c>
      <c r="G431" s="15" t="s">
        <v>3246</v>
      </c>
      <c r="H431" s="14" t="s">
        <v>3247</v>
      </c>
      <c r="I431" s="14" t="s">
        <v>37</v>
      </c>
      <c r="J431" s="14" t="s">
        <v>3248</v>
      </c>
      <c r="K431" s="16" t="s">
        <v>3249</v>
      </c>
      <c r="L431" s="17"/>
      <c r="M431" s="17"/>
      <c r="N431" s="11"/>
      <c r="O431" s="11"/>
    </row>
    <row r="432" ht="22.5" customHeight="1">
      <c r="A432" s="11"/>
      <c r="B432" s="12" t="s">
        <v>3250</v>
      </c>
      <c r="C432" s="14" t="s">
        <v>3251</v>
      </c>
      <c r="D432" s="14" t="s">
        <v>3252</v>
      </c>
      <c r="E432" s="14" t="s">
        <v>3253</v>
      </c>
      <c r="F432" s="14" t="s">
        <v>23</v>
      </c>
      <c r="G432" s="15" t="s">
        <v>3254</v>
      </c>
      <c r="H432" s="14" t="s">
        <v>3255</v>
      </c>
      <c r="I432" s="14" t="s">
        <v>2881</v>
      </c>
      <c r="J432" s="14" t="s">
        <v>3256</v>
      </c>
      <c r="K432" s="16" t="s">
        <v>3257</v>
      </c>
      <c r="L432" s="17"/>
      <c r="M432" s="14" t="s">
        <v>3258</v>
      </c>
      <c r="N432" s="11"/>
      <c r="O432" s="11"/>
    </row>
    <row r="433" ht="22.5" customHeight="1">
      <c r="A433" s="11"/>
      <c r="B433" s="12" t="s">
        <v>3250</v>
      </c>
      <c r="C433" s="14" t="s">
        <v>3251</v>
      </c>
      <c r="D433" s="14" t="s">
        <v>3252</v>
      </c>
      <c r="E433" s="14" t="s">
        <v>3259</v>
      </c>
      <c r="F433" s="14" t="s">
        <v>34</v>
      </c>
      <c r="G433" s="15" t="s">
        <v>3254</v>
      </c>
      <c r="H433" s="14" t="s">
        <v>3255</v>
      </c>
      <c r="I433" s="14" t="s">
        <v>26</v>
      </c>
      <c r="J433" s="14" t="s">
        <v>3256</v>
      </c>
      <c r="K433" s="16" t="s">
        <v>3257</v>
      </c>
      <c r="L433" s="17"/>
      <c r="M433" s="14" t="s">
        <v>3258</v>
      </c>
      <c r="N433" s="11"/>
      <c r="O433" s="11"/>
    </row>
    <row r="434" ht="22.5" customHeight="1">
      <c r="A434" s="11"/>
      <c r="B434" s="12" t="s">
        <v>3250</v>
      </c>
      <c r="C434" s="14" t="s">
        <v>3251</v>
      </c>
      <c r="D434" s="14" t="s">
        <v>3252</v>
      </c>
      <c r="E434" s="14" t="s">
        <v>3260</v>
      </c>
      <c r="F434" s="14" t="s">
        <v>62</v>
      </c>
      <c r="G434" s="15" t="s">
        <v>3254</v>
      </c>
      <c r="H434" s="14" t="s">
        <v>3255</v>
      </c>
      <c r="I434" s="14" t="s">
        <v>26</v>
      </c>
      <c r="J434" s="14" t="s">
        <v>3256</v>
      </c>
      <c r="K434" s="16" t="s">
        <v>3257</v>
      </c>
      <c r="L434" s="17"/>
      <c r="M434" s="14" t="s">
        <v>3258</v>
      </c>
      <c r="N434" s="11"/>
      <c r="O434" s="11"/>
    </row>
    <row r="435" ht="22.5" customHeight="1">
      <c r="A435" s="11"/>
      <c r="B435" s="12" t="s">
        <v>3250</v>
      </c>
      <c r="C435" s="14" t="s">
        <v>3251</v>
      </c>
      <c r="D435" s="14" t="s">
        <v>3252</v>
      </c>
      <c r="E435" s="14" t="s">
        <v>3261</v>
      </c>
      <c r="F435" s="14" t="s">
        <v>34</v>
      </c>
      <c r="G435" s="15" t="s">
        <v>3254</v>
      </c>
      <c r="H435" s="14" t="s">
        <v>3255</v>
      </c>
      <c r="I435" s="14" t="s">
        <v>26</v>
      </c>
      <c r="J435" s="14" t="s">
        <v>3256</v>
      </c>
      <c r="K435" s="16" t="s">
        <v>3257</v>
      </c>
      <c r="L435" s="17"/>
      <c r="M435" s="14" t="s">
        <v>3258</v>
      </c>
      <c r="N435" s="11"/>
      <c r="O435" s="11"/>
    </row>
    <row r="436" ht="22.5" customHeight="1">
      <c r="A436" s="11"/>
      <c r="B436" s="12" t="s">
        <v>355</v>
      </c>
      <c r="C436" s="14" t="s">
        <v>356</v>
      </c>
      <c r="D436" s="14" t="s">
        <v>3262</v>
      </c>
      <c r="E436" s="14" t="s">
        <v>3263</v>
      </c>
      <c r="F436" s="14" t="s">
        <v>1274</v>
      </c>
      <c r="G436" s="15" t="s">
        <v>3264</v>
      </c>
      <c r="H436" s="14" t="s">
        <v>3265</v>
      </c>
      <c r="I436" s="14" t="s">
        <v>26</v>
      </c>
      <c r="J436" s="14" t="s">
        <v>3266</v>
      </c>
      <c r="K436" s="16" t="s">
        <v>3267</v>
      </c>
      <c r="L436" s="17"/>
      <c r="M436" s="17"/>
      <c r="N436" s="11"/>
      <c r="O436" s="11"/>
    </row>
    <row r="437" ht="22.5" customHeight="1">
      <c r="A437" s="11"/>
      <c r="B437" s="12" t="s">
        <v>3268</v>
      </c>
      <c r="C437" s="14" t="s">
        <v>3269</v>
      </c>
      <c r="D437" s="14" t="s">
        <v>3270</v>
      </c>
      <c r="E437" s="14" t="s">
        <v>3271</v>
      </c>
      <c r="F437" s="14" t="s">
        <v>34</v>
      </c>
      <c r="G437" s="15" t="s">
        <v>3272</v>
      </c>
      <c r="H437" s="14" t="s">
        <v>3273</v>
      </c>
      <c r="I437" s="14" t="s">
        <v>37</v>
      </c>
      <c r="J437" s="14" t="s">
        <v>3274</v>
      </c>
      <c r="K437" s="16" t="s">
        <v>3275</v>
      </c>
      <c r="L437" s="17"/>
      <c r="M437" s="17"/>
      <c r="N437" s="11"/>
      <c r="O437" s="11"/>
    </row>
    <row r="438" ht="22.5" customHeight="1">
      <c r="A438" s="11"/>
      <c r="B438" s="12" t="s">
        <v>3276</v>
      </c>
      <c r="C438" s="14" t="s">
        <v>3277</v>
      </c>
      <c r="D438" s="14" t="s">
        <v>3278</v>
      </c>
      <c r="E438" s="14" t="s">
        <v>3279</v>
      </c>
      <c r="F438" s="14" t="s">
        <v>34</v>
      </c>
      <c r="G438" s="15" t="s">
        <v>3280</v>
      </c>
      <c r="H438" s="14" t="s">
        <v>3281</v>
      </c>
      <c r="I438" s="14" t="s">
        <v>37</v>
      </c>
      <c r="J438" s="14" t="s">
        <v>3282</v>
      </c>
      <c r="K438" s="16" t="s">
        <v>3283</v>
      </c>
      <c r="L438" s="17"/>
      <c r="M438" s="17"/>
      <c r="N438" s="11"/>
      <c r="O438" s="11"/>
    </row>
    <row r="439" ht="22.5" customHeight="1">
      <c r="A439" s="11"/>
      <c r="B439" s="12" t="s">
        <v>355</v>
      </c>
      <c r="C439" s="14" t="s">
        <v>356</v>
      </c>
      <c r="D439" s="14" t="s">
        <v>3284</v>
      </c>
      <c r="E439" s="14" t="s">
        <v>3285</v>
      </c>
      <c r="F439" s="14" t="s">
        <v>1817</v>
      </c>
      <c r="G439" s="15" t="s">
        <v>3264</v>
      </c>
      <c r="H439" s="14" t="s">
        <v>360</v>
      </c>
      <c r="I439" s="14" t="s">
        <v>2881</v>
      </c>
      <c r="J439" s="14" t="s">
        <v>3266</v>
      </c>
      <c r="K439" s="16" t="s">
        <v>3267</v>
      </c>
      <c r="L439" s="17"/>
      <c r="M439" s="17"/>
      <c r="N439" s="11"/>
      <c r="O439" s="11"/>
    </row>
    <row r="440" ht="22.5" customHeight="1">
      <c r="A440" s="11"/>
      <c r="B440" s="12" t="s">
        <v>355</v>
      </c>
      <c r="C440" s="14" t="s">
        <v>356</v>
      </c>
      <c r="D440" s="14" t="s">
        <v>3286</v>
      </c>
      <c r="E440" s="14" t="s">
        <v>3287</v>
      </c>
      <c r="F440" s="14" t="s">
        <v>966</v>
      </c>
      <c r="G440" s="15" t="s">
        <v>3264</v>
      </c>
      <c r="H440" s="14" t="s">
        <v>360</v>
      </c>
      <c r="I440" s="14" t="s">
        <v>26</v>
      </c>
      <c r="J440" s="14" t="s">
        <v>3266</v>
      </c>
      <c r="K440" s="16" t="s">
        <v>3267</v>
      </c>
      <c r="L440" s="17"/>
      <c r="M440" s="17"/>
      <c r="N440" s="11"/>
      <c r="O440" s="11"/>
    </row>
    <row r="441" ht="22.5" customHeight="1">
      <c r="A441" s="11"/>
      <c r="B441" s="12" t="s">
        <v>355</v>
      </c>
      <c r="C441" s="14" t="s">
        <v>356</v>
      </c>
      <c r="D441" s="14" t="s">
        <v>3288</v>
      </c>
      <c r="E441" s="14" t="s">
        <v>3289</v>
      </c>
      <c r="F441" s="14" t="s">
        <v>115</v>
      </c>
      <c r="G441" s="15" t="s">
        <v>3264</v>
      </c>
      <c r="H441" s="14" t="s">
        <v>360</v>
      </c>
      <c r="I441" s="14" t="s">
        <v>2881</v>
      </c>
      <c r="J441" s="14" t="s">
        <v>3266</v>
      </c>
      <c r="K441" s="16" t="s">
        <v>3267</v>
      </c>
      <c r="L441" s="17"/>
      <c r="M441" s="17"/>
      <c r="N441" s="11"/>
      <c r="O441" s="11"/>
    </row>
    <row r="442" ht="22.5" customHeight="1">
      <c r="A442" s="11"/>
      <c r="B442" s="12" t="s">
        <v>355</v>
      </c>
      <c r="C442" s="14" t="s">
        <v>356</v>
      </c>
      <c r="D442" s="14" t="s">
        <v>3290</v>
      </c>
      <c r="E442" s="14" t="s">
        <v>3291</v>
      </c>
      <c r="F442" s="14" t="s">
        <v>966</v>
      </c>
      <c r="G442" s="15" t="s">
        <v>3264</v>
      </c>
      <c r="H442" s="14" t="s">
        <v>360</v>
      </c>
      <c r="I442" s="14" t="s">
        <v>26</v>
      </c>
      <c r="J442" s="14" t="s">
        <v>3266</v>
      </c>
      <c r="K442" s="16" t="s">
        <v>3267</v>
      </c>
      <c r="L442" s="17"/>
      <c r="M442" s="17"/>
      <c r="N442" s="11"/>
      <c r="O442" s="11"/>
    </row>
    <row r="443" ht="22.5" customHeight="1">
      <c r="A443" s="11"/>
      <c r="B443" s="12" t="s">
        <v>355</v>
      </c>
      <c r="C443" s="14" t="s">
        <v>356</v>
      </c>
      <c r="D443" s="14" t="s">
        <v>3292</v>
      </c>
      <c r="E443" s="14" t="s">
        <v>3293</v>
      </c>
      <c r="F443" s="14" t="s">
        <v>414</v>
      </c>
      <c r="G443" s="15" t="s">
        <v>3264</v>
      </c>
      <c r="H443" s="14" t="s">
        <v>360</v>
      </c>
      <c r="I443" s="14" t="s">
        <v>26</v>
      </c>
      <c r="J443" s="14" t="s">
        <v>3266</v>
      </c>
      <c r="K443" s="16" t="s">
        <v>3267</v>
      </c>
      <c r="L443" s="17"/>
      <c r="M443" s="17"/>
      <c r="N443" s="11"/>
      <c r="O443" s="11"/>
    </row>
    <row r="444" ht="22.5" customHeight="1">
      <c r="A444" s="11"/>
      <c r="B444" s="12" t="s">
        <v>355</v>
      </c>
      <c r="C444" s="14" t="s">
        <v>356</v>
      </c>
      <c r="D444" s="14" t="s">
        <v>3294</v>
      </c>
      <c r="E444" s="14" t="s">
        <v>3295</v>
      </c>
      <c r="F444" s="14" t="s">
        <v>34</v>
      </c>
      <c r="G444" s="15" t="s">
        <v>3264</v>
      </c>
      <c r="H444" s="14" t="s">
        <v>360</v>
      </c>
      <c r="I444" s="14" t="s">
        <v>2881</v>
      </c>
      <c r="J444" s="14" t="s">
        <v>3266</v>
      </c>
      <c r="K444" s="16" t="s">
        <v>3267</v>
      </c>
      <c r="L444" s="17"/>
      <c r="M444" s="17"/>
      <c r="N444" s="11"/>
      <c r="O444" s="11"/>
    </row>
    <row r="445" ht="22.5" customHeight="1">
      <c r="A445" s="11"/>
      <c r="B445" s="12" t="s">
        <v>355</v>
      </c>
      <c r="C445" s="14" t="s">
        <v>356</v>
      </c>
      <c r="D445" s="14" t="s">
        <v>3296</v>
      </c>
      <c r="E445" s="14" t="s">
        <v>3297</v>
      </c>
      <c r="F445" s="14" t="s">
        <v>238</v>
      </c>
      <c r="G445" s="15" t="s">
        <v>3264</v>
      </c>
      <c r="H445" s="14" t="s">
        <v>360</v>
      </c>
      <c r="I445" s="14" t="s">
        <v>26</v>
      </c>
      <c r="J445" s="14" t="s">
        <v>3266</v>
      </c>
      <c r="K445" s="16" t="s">
        <v>3267</v>
      </c>
      <c r="L445" s="17"/>
      <c r="M445" s="17"/>
      <c r="N445" s="11"/>
      <c r="O445" s="11"/>
    </row>
    <row r="446" ht="22.5" customHeight="1">
      <c r="A446" s="11"/>
      <c r="B446" s="12" t="s">
        <v>355</v>
      </c>
      <c r="C446" s="14" t="s">
        <v>356</v>
      </c>
      <c r="D446" s="14" t="s">
        <v>3298</v>
      </c>
      <c r="E446" s="14" t="s">
        <v>3299</v>
      </c>
      <c r="F446" s="14" t="s">
        <v>1274</v>
      </c>
      <c r="G446" s="15" t="s">
        <v>3264</v>
      </c>
      <c r="H446" s="14" t="s">
        <v>360</v>
      </c>
      <c r="I446" s="14" t="s">
        <v>26</v>
      </c>
      <c r="J446" s="14" t="s">
        <v>3266</v>
      </c>
      <c r="K446" s="16" t="s">
        <v>3267</v>
      </c>
      <c r="L446" s="17"/>
      <c r="M446" s="17"/>
      <c r="N446" s="11"/>
      <c r="O446" s="11"/>
    </row>
    <row r="447" ht="22.5" customHeight="1">
      <c r="A447" s="11"/>
      <c r="B447" s="12" t="s">
        <v>355</v>
      </c>
      <c r="C447" s="14" t="s">
        <v>356</v>
      </c>
      <c r="D447" s="14" t="s">
        <v>3300</v>
      </c>
      <c r="E447" s="14" t="s">
        <v>3301</v>
      </c>
      <c r="F447" s="14" t="s">
        <v>34</v>
      </c>
      <c r="G447" s="15" t="s">
        <v>3264</v>
      </c>
      <c r="H447" s="14" t="s">
        <v>360</v>
      </c>
      <c r="I447" s="14" t="s">
        <v>26</v>
      </c>
      <c r="J447" s="14" t="s">
        <v>3266</v>
      </c>
      <c r="K447" s="16" t="s">
        <v>3267</v>
      </c>
      <c r="L447" s="17"/>
      <c r="M447" s="17"/>
      <c r="N447" s="11"/>
      <c r="O447" s="11"/>
    </row>
    <row r="448" ht="22.5" customHeight="1">
      <c r="A448" s="11"/>
      <c r="B448" s="12" t="s">
        <v>355</v>
      </c>
      <c r="C448" s="14" t="s">
        <v>356</v>
      </c>
      <c r="D448" s="14" t="s">
        <v>3302</v>
      </c>
      <c r="E448" s="14" t="s">
        <v>3303</v>
      </c>
      <c r="F448" s="14" t="s">
        <v>62</v>
      </c>
      <c r="G448" s="15" t="s">
        <v>3264</v>
      </c>
      <c r="H448" s="14" t="s">
        <v>360</v>
      </c>
      <c r="I448" s="14" t="s">
        <v>26</v>
      </c>
      <c r="J448" s="14" t="s">
        <v>3266</v>
      </c>
      <c r="K448" s="16" t="s">
        <v>3267</v>
      </c>
      <c r="L448" s="17"/>
      <c r="M448" s="17"/>
      <c r="N448" s="11"/>
      <c r="O448" s="11"/>
    </row>
    <row r="449" ht="22.5" customHeight="1">
      <c r="A449" s="11"/>
      <c r="B449" s="12" t="s">
        <v>355</v>
      </c>
      <c r="C449" s="14" t="s">
        <v>356</v>
      </c>
      <c r="D449" s="14" t="s">
        <v>3304</v>
      </c>
      <c r="E449" s="14" t="s">
        <v>3305</v>
      </c>
      <c r="F449" s="14" t="s">
        <v>62</v>
      </c>
      <c r="G449" s="15" t="s">
        <v>3264</v>
      </c>
      <c r="H449" s="14" t="s">
        <v>360</v>
      </c>
      <c r="I449" s="14" t="s">
        <v>26</v>
      </c>
      <c r="J449" s="14" t="s">
        <v>3266</v>
      </c>
      <c r="K449" s="16" t="s">
        <v>3267</v>
      </c>
      <c r="L449" s="17"/>
      <c r="M449" s="17"/>
      <c r="N449" s="11"/>
      <c r="O449" s="11"/>
    </row>
    <row r="450" ht="22.5" customHeight="1">
      <c r="A450" s="11"/>
      <c r="B450" s="12" t="s">
        <v>355</v>
      </c>
      <c r="C450" s="14" t="s">
        <v>356</v>
      </c>
      <c r="D450" s="14" t="s">
        <v>3306</v>
      </c>
      <c r="E450" s="14" t="s">
        <v>3307</v>
      </c>
      <c r="F450" s="14" t="s">
        <v>966</v>
      </c>
      <c r="G450" s="15" t="s">
        <v>3264</v>
      </c>
      <c r="H450" s="14" t="s">
        <v>360</v>
      </c>
      <c r="I450" s="14" t="s">
        <v>2881</v>
      </c>
      <c r="J450" s="14" t="s">
        <v>3266</v>
      </c>
      <c r="K450" s="16" t="s">
        <v>3267</v>
      </c>
      <c r="L450" s="17"/>
      <c r="M450" s="17"/>
      <c r="N450" s="11"/>
      <c r="O450" s="11"/>
    </row>
    <row r="451" ht="22.5" customHeight="1">
      <c r="A451" s="11"/>
      <c r="B451" s="12" t="s">
        <v>355</v>
      </c>
      <c r="C451" s="14" t="s">
        <v>356</v>
      </c>
      <c r="D451" s="14" t="s">
        <v>3308</v>
      </c>
      <c r="E451" s="14" t="s">
        <v>3309</v>
      </c>
      <c r="F451" s="14" t="s">
        <v>853</v>
      </c>
      <c r="G451" s="15" t="s">
        <v>3264</v>
      </c>
      <c r="H451" s="14" t="s">
        <v>360</v>
      </c>
      <c r="I451" s="14" t="s">
        <v>26</v>
      </c>
      <c r="J451" s="14" t="s">
        <v>3266</v>
      </c>
      <c r="K451" s="16" t="s">
        <v>3267</v>
      </c>
      <c r="L451" s="17"/>
      <c r="M451" s="17"/>
      <c r="N451" s="11"/>
      <c r="O451" s="11"/>
    </row>
    <row r="452" ht="22.5" customHeight="1">
      <c r="A452" s="11"/>
      <c r="B452" s="14" t="s">
        <v>3310</v>
      </c>
      <c r="C452" s="14" t="s">
        <v>3311</v>
      </c>
      <c r="D452" s="14" t="s">
        <v>3312</v>
      </c>
      <c r="E452" s="14" t="s">
        <v>3313</v>
      </c>
      <c r="F452" s="14" t="s">
        <v>62</v>
      </c>
      <c r="G452" s="15" t="s">
        <v>3314</v>
      </c>
      <c r="H452" s="14" t="s">
        <v>3315</v>
      </c>
      <c r="I452" s="14" t="s">
        <v>2881</v>
      </c>
      <c r="J452" s="14" t="s">
        <v>3316</v>
      </c>
      <c r="K452" s="16" t="s">
        <v>3317</v>
      </c>
      <c r="L452" s="14" t="s">
        <v>3318</v>
      </c>
      <c r="M452" s="17"/>
      <c r="N452" s="11"/>
      <c r="O452" s="11"/>
    </row>
    <row r="453" ht="22.5" customHeight="1">
      <c r="A453" s="11"/>
      <c r="B453" s="12" t="s">
        <v>3319</v>
      </c>
      <c r="C453" s="14" t="s">
        <v>3320</v>
      </c>
      <c r="D453" s="14" t="s">
        <v>3321</v>
      </c>
      <c r="E453" s="14" t="s">
        <v>3322</v>
      </c>
      <c r="F453" s="14" t="s">
        <v>44</v>
      </c>
      <c r="G453" s="15" t="s">
        <v>3323</v>
      </c>
      <c r="H453" s="14" t="s">
        <v>3324</v>
      </c>
      <c r="I453" s="14" t="s">
        <v>26</v>
      </c>
      <c r="J453" s="14" t="s">
        <v>3325</v>
      </c>
      <c r="K453" s="16" t="s">
        <v>3326</v>
      </c>
      <c r="L453" s="17"/>
      <c r="M453" s="17"/>
      <c r="N453" s="11"/>
      <c r="O453" s="11"/>
    </row>
    <row r="454" ht="22.5" customHeight="1">
      <c r="A454" s="11"/>
      <c r="B454" s="12" t="s">
        <v>355</v>
      </c>
      <c r="C454" s="14" t="s">
        <v>356</v>
      </c>
      <c r="D454" s="14" t="s">
        <v>3327</v>
      </c>
      <c r="E454" s="14" t="s">
        <v>3328</v>
      </c>
      <c r="F454" s="14" t="s">
        <v>62</v>
      </c>
      <c r="G454" s="15" t="s">
        <v>3264</v>
      </c>
      <c r="H454" s="14" t="s">
        <v>360</v>
      </c>
      <c r="I454" s="14" t="s">
        <v>26</v>
      </c>
      <c r="J454" s="14" t="s">
        <v>3266</v>
      </c>
      <c r="K454" s="16" t="s">
        <v>3267</v>
      </c>
      <c r="L454" s="17"/>
      <c r="M454" s="17"/>
      <c r="N454" s="11"/>
      <c r="O454" s="11"/>
    </row>
    <row r="455" ht="22.5" customHeight="1">
      <c r="A455" s="11"/>
      <c r="B455" s="12" t="s">
        <v>3329</v>
      </c>
      <c r="C455" s="14" t="s">
        <v>3330</v>
      </c>
      <c r="D455" s="14" t="s">
        <v>3331</v>
      </c>
      <c r="E455" s="14" t="s">
        <v>3332</v>
      </c>
      <c r="F455" s="14" t="s">
        <v>115</v>
      </c>
      <c r="G455" s="15" t="s">
        <v>3333</v>
      </c>
      <c r="H455" s="14" t="s">
        <v>3334</v>
      </c>
      <c r="I455" s="14" t="s">
        <v>37</v>
      </c>
      <c r="J455" s="14" t="s">
        <v>3335</v>
      </c>
      <c r="K455" s="16" t="s">
        <v>3336</v>
      </c>
      <c r="L455" s="17"/>
      <c r="M455" s="17"/>
      <c r="N455" s="11"/>
      <c r="O455" s="11"/>
    </row>
    <row r="456" ht="22.5" customHeight="1">
      <c r="A456" s="11"/>
      <c r="B456" s="12" t="s">
        <v>355</v>
      </c>
      <c r="C456" s="14" t="s">
        <v>356</v>
      </c>
      <c r="D456" s="14" t="s">
        <v>3337</v>
      </c>
      <c r="E456" s="14" t="s">
        <v>3338</v>
      </c>
      <c r="F456" s="14" t="s">
        <v>53</v>
      </c>
      <c r="G456" s="15" t="s">
        <v>3264</v>
      </c>
      <c r="H456" s="14" t="s">
        <v>360</v>
      </c>
      <c r="I456" s="14" t="s">
        <v>26</v>
      </c>
      <c r="J456" s="14" t="s">
        <v>3266</v>
      </c>
      <c r="K456" s="16" t="s">
        <v>3267</v>
      </c>
      <c r="L456" s="17"/>
      <c r="M456" s="17"/>
      <c r="N456" s="11"/>
      <c r="O456" s="11"/>
    </row>
    <row r="457" ht="22.5" customHeight="1">
      <c r="A457" s="11"/>
      <c r="B457" s="12" t="s">
        <v>355</v>
      </c>
      <c r="C457" s="14" t="s">
        <v>356</v>
      </c>
      <c r="D457" s="14" t="s">
        <v>3339</v>
      </c>
      <c r="E457" s="14" t="s">
        <v>3340</v>
      </c>
      <c r="F457" s="14" t="s">
        <v>1274</v>
      </c>
      <c r="G457" s="15" t="s">
        <v>3264</v>
      </c>
      <c r="H457" s="14" t="s">
        <v>360</v>
      </c>
      <c r="I457" s="14" t="s">
        <v>26</v>
      </c>
      <c r="J457" s="14" t="s">
        <v>3266</v>
      </c>
      <c r="K457" s="16" t="s">
        <v>3267</v>
      </c>
      <c r="L457" s="17"/>
      <c r="M457" s="17"/>
      <c r="N457" s="11"/>
      <c r="O457" s="11"/>
    </row>
    <row r="458" ht="22.5" customHeight="1">
      <c r="A458" s="11"/>
      <c r="B458" s="12" t="s">
        <v>355</v>
      </c>
      <c r="C458" s="14" t="s">
        <v>356</v>
      </c>
      <c r="D458" s="14" t="s">
        <v>3341</v>
      </c>
      <c r="E458" s="14" t="s">
        <v>3342</v>
      </c>
      <c r="F458" s="14" t="s">
        <v>238</v>
      </c>
      <c r="G458" s="15" t="s">
        <v>3264</v>
      </c>
      <c r="H458" s="14" t="s">
        <v>360</v>
      </c>
      <c r="I458" s="14" t="s">
        <v>26</v>
      </c>
      <c r="J458" s="14" t="s">
        <v>3266</v>
      </c>
      <c r="K458" s="16" t="s">
        <v>3267</v>
      </c>
      <c r="L458" s="17"/>
      <c r="M458" s="17"/>
      <c r="N458" s="11"/>
      <c r="O458" s="11"/>
    </row>
    <row r="459" ht="22.5" customHeight="1">
      <c r="A459" s="11"/>
      <c r="B459" s="12" t="s">
        <v>355</v>
      </c>
      <c r="C459" s="14" t="s">
        <v>356</v>
      </c>
      <c r="D459" s="14" t="s">
        <v>3343</v>
      </c>
      <c r="E459" s="14" t="s">
        <v>3344</v>
      </c>
      <c r="F459" s="14" t="s">
        <v>238</v>
      </c>
      <c r="G459" s="15" t="s">
        <v>3264</v>
      </c>
      <c r="H459" s="14" t="s">
        <v>360</v>
      </c>
      <c r="I459" s="14" t="s">
        <v>26</v>
      </c>
      <c r="J459" s="14" t="s">
        <v>3266</v>
      </c>
      <c r="K459" s="16" t="s">
        <v>3267</v>
      </c>
      <c r="L459" s="17"/>
      <c r="M459" s="17"/>
      <c r="N459" s="11"/>
      <c r="O459" s="11"/>
    </row>
    <row r="460" ht="22.5" customHeight="1">
      <c r="A460" s="11"/>
      <c r="B460" s="12" t="s">
        <v>355</v>
      </c>
      <c r="C460" s="14" t="s">
        <v>356</v>
      </c>
      <c r="D460" s="14" t="s">
        <v>3345</v>
      </c>
      <c r="E460" s="14" t="s">
        <v>3346</v>
      </c>
      <c r="F460" s="14" t="s">
        <v>34</v>
      </c>
      <c r="G460" s="15" t="s">
        <v>3264</v>
      </c>
      <c r="H460" s="14" t="s">
        <v>360</v>
      </c>
      <c r="I460" s="14" t="s">
        <v>26</v>
      </c>
      <c r="J460" s="14" t="s">
        <v>3266</v>
      </c>
      <c r="K460" s="16" t="s">
        <v>3267</v>
      </c>
      <c r="L460" s="17"/>
      <c r="M460" s="17"/>
      <c r="N460" s="11"/>
      <c r="O460" s="11"/>
    </row>
    <row r="461" ht="22.5" customHeight="1">
      <c r="A461" s="11"/>
      <c r="B461" s="12" t="s">
        <v>355</v>
      </c>
      <c r="C461" s="14" t="s">
        <v>356</v>
      </c>
      <c r="D461" s="14" t="s">
        <v>3347</v>
      </c>
      <c r="E461" s="14" t="s">
        <v>3348</v>
      </c>
      <c r="F461" s="14" t="s">
        <v>62</v>
      </c>
      <c r="G461" s="15" t="s">
        <v>3264</v>
      </c>
      <c r="H461" s="14" t="s">
        <v>360</v>
      </c>
      <c r="I461" s="14" t="s">
        <v>26</v>
      </c>
      <c r="J461" s="14" t="s">
        <v>3266</v>
      </c>
      <c r="K461" s="16" t="s">
        <v>3267</v>
      </c>
      <c r="L461" s="17"/>
      <c r="M461" s="17"/>
      <c r="N461" s="11"/>
      <c r="O461" s="11"/>
    </row>
    <row r="462" ht="22.5" customHeight="1">
      <c r="A462" s="11"/>
      <c r="B462" s="12" t="s">
        <v>355</v>
      </c>
      <c r="C462" s="14" t="s">
        <v>356</v>
      </c>
      <c r="D462" s="14" t="s">
        <v>3349</v>
      </c>
      <c r="E462" s="14" t="s">
        <v>3350</v>
      </c>
      <c r="F462" s="14" t="s">
        <v>1123</v>
      </c>
      <c r="G462" s="15" t="s">
        <v>3264</v>
      </c>
      <c r="H462" s="14" t="s">
        <v>360</v>
      </c>
      <c r="I462" s="14" t="s">
        <v>26</v>
      </c>
      <c r="J462" s="14" t="s">
        <v>3266</v>
      </c>
      <c r="K462" s="16" t="s">
        <v>3267</v>
      </c>
      <c r="L462" s="17"/>
      <c r="M462" s="17"/>
      <c r="N462" s="11"/>
      <c r="O462" s="11"/>
    </row>
    <row r="463" ht="22.5" customHeight="1">
      <c r="A463" s="11"/>
      <c r="B463" s="12" t="s">
        <v>355</v>
      </c>
      <c r="C463" s="14" t="s">
        <v>356</v>
      </c>
      <c r="D463" s="14" t="s">
        <v>3351</v>
      </c>
      <c r="E463" s="14" t="s">
        <v>3352</v>
      </c>
      <c r="F463" s="14" t="s">
        <v>34</v>
      </c>
      <c r="G463" s="15" t="s">
        <v>3264</v>
      </c>
      <c r="H463" s="14" t="s">
        <v>360</v>
      </c>
      <c r="I463" s="14" t="s">
        <v>26</v>
      </c>
      <c r="J463" s="14" t="s">
        <v>3266</v>
      </c>
      <c r="K463" s="16" t="s">
        <v>3267</v>
      </c>
      <c r="L463" s="17"/>
      <c r="M463" s="17"/>
      <c r="N463" s="11"/>
      <c r="O463" s="11"/>
    </row>
    <row r="464" ht="22.5" customHeight="1">
      <c r="A464" s="11"/>
      <c r="B464" s="12" t="s">
        <v>355</v>
      </c>
      <c r="C464" s="14" t="s">
        <v>356</v>
      </c>
      <c r="D464" s="14" t="s">
        <v>3353</v>
      </c>
      <c r="E464" s="14" t="s">
        <v>3354</v>
      </c>
      <c r="F464" s="14" t="s">
        <v>62</v>
      </c>
      <c r="G464" s="15" t="s">
        <v>3264</v>
      </c>
      <c r="H464" s="14" t="s">
        <v>360</v>
      </c>
      <c r="I464" s="14" t="s">
        <v>2881</v>
      </c>
      <c r="J464" s="14" t="s">
        <v>3266</v>
      </c>
      <c r="K464" s="16" t="s">
        <v>3267</v>
      </c>
      <c r="L464" s="17"/>
      <c r="M464" s="17"/>
      <c r="N464" s="11"/>
      <c r="O464" s="11"/>
    </row>
    <row r="465" ht="22.5" customHeight="1">
      <c r="A465" s="11"/>
      <c r="B465" s="12" t="s">
        <v>355</v>
      </c>
      <c r="C465" s="14" t="s">
        <v>356</v>
      </c>
      <c r="D465" s="14" t="s">
        <v>3355</v>
      </c>
      <c r="E465" s="14" t="s">
        <v>3356</v>
      </c>
      <c r="F465" s="14" t="s">
        <v>194</v>
      </c>
      <c r="G465" s="15" t="s">
        <v>3264</v>
      </c>
      <c r="H465" s="14" t="s">
        <v>360</v>
      </c>
      <c r="I465" s="14" t="s">
        <v>26</v>
      </c>
      <c r="J465" s="14" t="s">
        <v>3266</v>
      </c>
      <c r="K465" s="16" t="s">
        <v>3267</v>
      </c>
      <c r="L465" s="17"/>
      <c r="M465" s="17"/>
      <c r="N465" s="11"/>
      <c r="O465" s="11"/>
    </row>
    <row r="466" ht="22.5" customHeight="1">
      <c r="A466" s="11"/>
      <c r="B466" s="12" t="s">
        <v>355</v>
      </c>
      <c r="C466" s="14" t="s">
        <v>356</v>
      </c>
      <c r="D466" s="14" t="s">
        <v>3357</v>
      </c>
      <c r="E466" s="14" t="s">
        <v>3358</v>
      </c>
      <c r="F466" s="14" t="s">
        <v>1156</v>
      </c>
      <c r="G466" s="15" t="s">
        <v>3264</v>
      </c>
      <c r="H466" s="14" t="s">
        <v>360</v>
      </c>
      <c r="I466" s="14" t="s">
        <v>26</v>
      </c>
      <c r="J466" s="14" t="s">
        <v>3266</v>
      </c>
      <c r="K466" s="16" t="s">
        <v>3267</v>
      </c>
      <c r="L466" s="17"/>
      <c r="M466" s="17"/>
      <c r="N466" s="11"/>
      <c r="O466" s="11"/>
    </row>
    <row r="467" ht="22.5" customHeight="1">
      <c r="A467" s="11"/>
      <c r="B467" s="12" t="s">
        <v>355</v>
      </c>
      <c r="C467" s="14" t="s">
        <v>356</v>
      </c>
      <c r="D467" s="14" t="s">
        <v>3359</v>
      </c>
      <c r="E467" s="14" t="s">
        <v>3360</v>
      </c>
      <c r="F467" s="14" t="s">
        <v>62</v>
      </c>
      <c r="G467" s="15" t="s">
        <v>3264</v>
      </c>
      <c r="H467" s="14" t="s">
        <v>360</v>
      </c>
      <c r="I467" s="14" t="s">
        <v>26</v>
      </c>
      <c r="J467" s="14" t="s">
        <v>3266</v>
      </c>
      <c r="K467" s="16" t="s">
        <v>3267</v>
      </c>
      <c r="L467" s="17"/>
      <c r="M467" s="17"/>
      <c r="N467" s="11"/>
      <c r="O467" s="11"/>
    </row>
    <row r="468" ht="22.5" customHeight="1">
      <c r="A468" s="11"/>
      <c r="B468" s="12" t="s">
        <v>3361</v>
      </c>
      <c r="C468" s="14" t="s">
        <v>3362</v>
      </c>
      <c r="D468" s="14" t="s">
        <v>3363</v>
      </c>
      <c r="E468" s="14" t="s">
        <v>3364</v>
      </c>
      <c r="F468" s="14" t="s">
        <v>62</v>
      </c>
      <c r="G468" s="15" t="s">
        <v>3365</v>
      </c>
      <c r="H468" s="14" t="s">
        <v>3366</v>
      </c>
      <c r="I468" s="14" t="s">
        <v>37</v>
      </c>
      <c r="J468" s="14" t="s">
        <v>3367</v>
      </c>
      <c r="K468" s="16" t="s">
        <v>3368</v>
      </c>
      <c r="L468" s="17"/>
      <c r="M468" s="17"/>
      <c r="N468" s="11"/>
      <c r="O468" s="11"/>
    </row>
    <row r="469" ht="22.5" customHeight="1">
      <c r="A469" s="11"/>
      <c r="B469" s="12" t="s">
        <v>355</v>
      </c>
      <c r="C469" s="14" t="s">
        <v>356</v>
      </c>
      <c r="D469" s="14" t="s">
        <v>3369</v>
      </c>
      <c r="E469" s="14" t="s">
        <v>3370</v>
      </c>
      <c r="F469" s="14" t="s">
        <v>53</v>
      </c>
      <c r="G469" s="15" t="s">
        <v>3264</v>
      </c>
      <c r="H469" s="14" t="s">
        <v>360</v>
      </c>
      <c r="I469" s="14" t="s">
        <v>2881</v>
      </c>
      <c r="J469" s="14" t="s">
        <v>3266</v>
      </c>
      <c r="K469" s="16" t="s">
        <v>3267</v>
      </c>
      <c r="L469" s="17"/>
      <c r="M469" s="17"/>
      <c r="N469" s="11"/>
      <c r="O469" s="11"/>
    </row>
    <row r="470" ht="22.5" customHeight="1">
      <c r="A470" s="11"/>
      <c r="B470" s="12" t="s">
        <v>3091</v>
      </c>
      <c r="C470" s="14" t="s">
        <v>3092</v>
      </c>
      <c r="D470" s="14" t="s">
        <v>3371</v>
      </c>
      <c r="E470" s="14" t="s">
        <v>3372</v>
      </c>
      <c r="F470" s="14" t="s">
        <v>1156</v>
      </c>
      <c r="G470" s="15" t="s">
        <v>3095</v>
      </c>
      <c r="H470" s="14" t="s">
        <v>3096</v>
      </c>
      <c r="I470" s="14" t="s">
        <v>37</v>
      </c>
      <c r="J470" s="14" t="s">
        <v>3373</v>
      </c>
      <c r="K470" s="16" t="s">
        <v>3098</v>
      </c>
      <c r="L470" s="17"/>
      <c r="M470" s="17"/>
      <c r="N470" s="11"/>
      <c r="O470" s="11"/>
    </row>
    <row r="471" ht="22.5" customHeight="1">
      <c r="A471" s="11"/>
      <c r="B471" s="12" t="s">
        <v>355</v>
      </c>
      <c r="C471" s="14" t="s">
        <v>356</v>
      </c>
      <c r="D471" s="14" t="s">
        <v>3374</v>
      </c>
      <c r="E471" s="14" t="s">
        <v>3375</v>
      </c>
      <c r="F471" s="14" t="s">
        <v>414</v>
      </c>
      <c r="G471" s="15" t="s">
        <v>3264</v>
      </c>
      <c r="H471" s="14" t="s">
        <v>360</v>
      </c>
      <c r="I471" s="14" t="s">
        <v>26</v>
      </c>
      <c r="J471" s="14" t="s">
        <v>3266</v>
      </c>
      <c r="K471" s="16" t="s">
        <v>3267</v>
      </c>
      <c r="L471" s="17"/>
      <c r="M471" s="17"/>
      <c r="N471" s="11"/>
      <c r="O471" s="11"/>
    </row>
    <row r="472" ht="22.5" customHeight="1">
      <c r="A472" s="11"/>
      <c r="B472" s="12" t="s">
        <v>355</v>
      </c>
      <c r="C472" s="14" t="s">
        <v>356</v>
      </c>
      <c r="D472" s="14" t="s">
        <v>3376</v>
      </c>
      <c r="E472" s="14" t="s">
        <v>3377</v>
      </c>
      <c r="F472" s="14" t="s">
        <v>1123</v>
      </c>
      <c r="G472" s="15" t="s">
        <v>3264</v>
      </c>
      <c r="H472" s="14" t="s">
        <v>360</v>
      </c>
      <c r="I472" s="14" t="s">
        <v>26</v>
      </c>
      <c r="J472" s="14" t="s">
        <v>3266</v>
      </c>
      <c r="K472" s="16" t="s">
        <v>3267</v>
      </c>
      <c r="L472" s="17"/>
      <c r="M472" s="17"/>
      <c r="N472" s="11"/>
      <c r="O472" s="11"/>
    </row>
    <row r="473" ht="22.5" customHeight="1">
      <c r="A473" s="11"/>
      <c r="B473" s="12" t="s">
        <v>355</v>
      </c>
      <c r="C473" s="14" t="s">
        <v>356</v>
      </c>
      <c r="D473" s="14" t="s">
        <v>3378</v>
      </c>
      <c r="E473" s="14" t="s">
        <v>3379</v>
      </c>
      <c r="F473" s="14" t="s">
        <v>1156</v>
      </c>
      <c r="G473" s="15" t="s">
        <v>3264</v>
      </c>
      <c r="H473" s="14" t="s">
        <v>360</v>
      </c>
      <c r="I473" s="14" t="s">
        <v>26</v>
      </c>
      <c r="J473" s="14" t="s">
        <v>3266</v>
      </c>
      <c r="K473" s="16" t="s">
        <v>3267</v>
      </c>
      <c r="L473" s="17"/>
      <c r="M473" s="17"/>
      <c r="N473" s="11"/>
      <c r="O473" s="11"/>
    </row>
    <row r="474" ht="22.5" customHeight="1">
      <c r="A474" s="11"/>
      <c r="B474" s="12" t="s">
        <v>355</v>
      </c>
      <c r="C474" s="14" t="s">
        <v>356</v>
      </c>
      <c r="D474" s="14" t="s">
        <v>3380</v>
      </c>
      <c r="E474" s="14" t="s">
        <v>3381</v>
      </c>
      <c r="F474" s="14" t="s">
        <v>62</v>
      </c>
      <c r="G474" s="15" t="s">
        <v>3264</v>
      </c>
      <c r="H474" s="14" t="s">
        <v>360</v>
      </c>
      <c r="I474" s="14" t="s">
        <v>26</v>
      </c>
      <c r="J474" s="14" t="s">
        <v>3266</v>
      </c>
      <c r="K474" s="16" t="s">
        <v>3267</v>
      </c>
      <c r="L474" s="17"/>
      <c r="M474" s="17"/>
      <c r="N474" s="11"/>
      <c r="O474" s="11"/>
    </row>
    <row r="475" ht="22.5" customHeight="1">
      <c r="A475" s="11"/>
      <c r="B475" s="12" t="s">
        <v>355</v>
      </c>
      <c r="C475" s="14" t="s">
        <v>356</v>
      </c>
      <c r="D475" s="14" t="s">
        <v>3382</v>
      </c>
      <c r="E475" s="14" t="s">
        <v>3383</v>
      </c>
      <c r="F475" s="14" t="s">
        <v>137</v>
      </c>
      <c r="G475" s="15" t="s">
        <v>3264</v>
      </c>
      <c r="H475" s="14" t="s">
        <v>360</v>
      </c>
      <c r="I475" s="14" t="s">
        <v>26</v>
      </c>
      <c r="J475" s="14" t="s">
        <v>3266</v>
      </c>
      <c r="K475" s="16" t="s">
        <v>3267</v>
      </c>
      <c r="L475" s="17"/>
      <c r="M475" s="17"/>
      <c r="N475" s="11"/>
      <c r="O475" s="11"/>
    </row>
    <row r="476" ht="22.5" customHeight="1">
      <c r="A476" s="11"/>
      <c r="B476" s="12" t="s">
        <v>355</v>
      </c>
      <c r="C476" s="14" t="s">
        <v>356</v>
      </c>
      <c r="D476" s="14" t="s">
        <v>3384</v>
      </c>
      <c r="E476" s="14" t="s">
        <v>3385</v>
      </c>
      <c r="F476" s="14" t="s">
        <v>238</v>
      </c>
      <c r="G476" s="15" t="s">
        <v>3264</v>
      </c>
      <c r="H476" s="14" t="s">
        <v>360</v>
      </c>
      <c r="I476" s="14" t="s">
        <v>26</v>
      </c>
      <c r="J476" s="14" t="s">
        <v>3266</v>
      </c>
      <c r="K476" s="16" t="s">
        <v>3267</v>
      </c>
      <c r="L476" s="17"/>
      <c r="M476" s="17"/>
      <c r="N476" s="11"/>
      <c r="O476" s="11"/>
    </row>
    <row r="477" ht="22.5" customHeight="1">
      <c r="A477" s="11"/>
      <c r="B477" s="12" t="s">
        <v>355</v>
      </c>
      <c r="C477" s="14" t="s">
        <v>356</v>
      </c>
      <c r="D477" s="14" t="s">
        <v>3386</v>
      </c>
      <c r="E477" s="14" t="s">
        <v>3387</v>
      </c>
      <c r="F477" s="14" t="s">
        <v>23</v>
      </c>
      <c r="G477" s="15" t="s">
        <v>3264</v>
      </c>
      <c r="H477" s="14" t="s">
        <v>360</v>
      </c>
      <c r="I477" s="14" t="s">
        <v>26</v>
      </c>
      <c r="J477" s="14" t="s">
        <v>3266</v>
      </c>
      <c r="K477" s="16" t="s">
        <v>3267</v>
      </c>
      <c r="L477" s="17"/>
      <c r="M477" s="17"/>
      <c r="N477" s="11"/>
      <c r="O477" s="11"/>
    </row>
    <row r="478" ht="22.5" customHeight="1">
      <c r="A478" s="11"/>
      <c r="B478" s="12" t="s">
        <v>355</v>
      </c>
      <c r="C478" s="14" t="s">
        <v>356</v>
      </c>
      <c r="D478" s="14" t="s">
        <v>3388</v>
      </c>
      <c r="E478" s="14" t="s">
        <v>3389</v>
      </c>
      <c r="F478" s="14" t="s">
        <v>137</v>
      </c>
      <c r="G478" s="15" t="s">
        <v>3264</v>
      </c>
      <c r="H478" s="14" t="s">
        <v>360</v>
      </c>
      <c r="I478" s="14" t="s">
        <v>26</v>
      </c>
      <c r="J478" s="14" t="s">
        <v>3266</v>
      </c>
      <c r="K478" s="16" t="s">
        <v>3267</v>
      </c>
      <c r="L478" s="17"/>
      <c r="M478" s="17"/>
      <c r="N478" s="11"/>
      <c r="O478" s="11"/>
    </row>
    <row r="479" ht="22.5" customHeight="1">
      <c r="A479" s="11"/>
      <c r="B479" s="12" t="s">
        <v>355</v>
      </c>
      <c r="C479" s="14" t="s">
        <v>356</v>
      </c>
      <c r="D479" s="14" t="s">
        <v>3390</v>
      </c>
      <c r="E479" s="14" t="s">
        <v>3391</v>
      </c>
      <c r="F479" s="14" t="s">
        <v>238</v>
      </c>
      <c r="G479" s="15" t="s">
        <v>3264</v>
      </c>
      <c r="H479" s="14" t="s">
        <v>360</v>
      </c>
      <c r="I479" s="14" t="s">
        <v>26</v>
      </c>
      <c r="J479" s="14" t="s">
        <v>3266</v>
      </c>
      <c r="K479" s="16" t="s">
        <v>3267</v>
      </c>
      <c r="L479" s="17"/>
      <c r="M479" s="17"/>
      <c r="N479" s="11"/>
      <c r="O479" s="11"/>
    </row>
    <row r="480" ht="22.5" customHeight="1">
      <c r="A480" s="11"/>
      <c r="B480" s="12" t="s">
        <v>355</v>
      </c>
      <c r="C480" s="14" t="s">
        <v>356</v>
      </c>
      <c r="D480" s="14" t="s">
        <v>3392</v>
      </c>
      <c r="E480" s="14" t="s">
        <v>3393</v>
      </c>
      <c r="F480" s="14" t="s">
        <v>966</v>
      </c>
      <c r="G480" s="15" t="s">
        <v>3264</v>
      </c>
      <c r="H480" s="14" t="s">
        <v>360</v>
      </c>
      <c r="I480" s="14" t="s">
        <v>26</v>
      </c>
      <c r="J480" s="14" t="s">
        <v>3266</v>
      </c>
      <c r="K480" s="16" t="s">
        <v>3267</v>
      </c>
      <c r="L480" s="17"/>
      <c r="M480" s="17"/>
      <c r="N480" s="11"/>
      <c r="O480" s="11"/>
    </row>
    <row r="481" ht="22.5" customHeight="1">
      <c r="A481" s="11"/>
      <c r="B481" s="12" t="s">
        <v>355</v>
      </c>
      <c r="C481" s="14" t="s">
        <v>356</v>
      </c>
      <c r="D481" s="14" t="s">
        <v>3394</v>
      </c>
      <c r="E481" s="14" t="s">
        <v>3395</v>
      </c>
      <c r="F481" s="14" t="s">
        <v>34</v>
      </c>
      <c r="G481" s="15" t="s">
        <v>3264</v>
      </c>
      <c r="H481" s="14" t="s">
        <v>360</v>
      </c>
      <c r="I481" s="14" t="s">
        <v>26</v>
      </c>
      <c r="J481" s="14" t="s">
        <v>3266</v>
      </c>
      <c r="K481" s="16" t="s">
        <v>3267</v>
      </c>
      <c r="L481" s="17"/>
      <c r="M481" s="17"/>
      <c r="N481" s="11"/>
      <c r="O481" s="11"/>
    </row>
    <row r="482" ht="22.5" customHeight="1">
      <c r="A482" s="11"/>
      <c r="B482" s="12" t="s">
        <v>3396</v>
      </c>
      <c r="C482" s="14" t="s">
        <v>3397</v>
      </c>
      <c r="D482" s="14" t="s">
        <v>3398</v>
      </c>
      <c r="E482" s="14" t="s">
        <v>3399</v>
      </c>
      <c r="F482" s="14" t="s">
        <v>34</v>
      </c>
      <c r="G482" s="15" t="s">
        <v>3400</v>
      </c>
      <c r="H482" s="14" t="s">
        <v>3401</v>
      </c>
      <c r="I482" s="14" t="s">
        <v>37</v>
      </c>
      <c r="J482" s="14" t="s">
        <v>3402</v>
      </c>
      <c r="K482" s="16" t="s">
        <v>3403</v>
      </c>
      <c r="L482" s="17"/>
      <c r="M482" s="17"/>
      <c r="N482" s="11"/>
      <c r="O482" s="11"/>
    </row>
    <row r="483" ht="22.5" customHeight="1">
      <c r="A483" s="11"/>
      <c r="B483" s="12" t="s">
        <v>3404</v>
      </c>
      <c r="C483" s="14" t="s">
        <v>3405</v>
      </c>
      <c r="D483" s="14" t="s">
        <v>3406</v>
      </c>
      <c r="E483" s="14" t="s">
        <v>3407</v>
      </c>
      <c r="F483" s="14" t="s">
        <v>44</v>
      </c>
      <c r="G483" s="15" t="s">
        <v>3408</v>
      </c>
      <c r="H483" s="14" t="s">
        <v>3409</v>
      </c>
      <c r="I483" s="14" t="s">
        <v>37</v>
      </c>
      <c r="J483" s="14" t="s">
        <v>3410</v>
      </c>
      <c r="K483" s="16" t="s">
        <v>3411</v>
      </c>
      <c r="L483" s="17"/>
      <c r="M483" s="17"/>
      <c r="N483" s="11"/>
      <c r="O483" s="11"/>
    </row>
    <row r="484" ht="22.5" customHeight="1">
      <c r="A484" s="11"/>
      <c r="B484" s="12" t="s">
        <v>3412</v>
      </c>
      <c r="C484" s="14" t="s">
        <v>3413</v>
      </c>
      <c r="D484" s="14" t="s">
        <v>3414</v>
      </c>
      <c r="E484" s="14" t="s">
        <v>3415</v>
      </c>
      <c r="F484" s="14" t="s">
        <v>23</v>
      </c>
      <c r="G484" s="15" t="s">
        <v>3416</v>
      </c>
      <c r="H484" s="14" t="s">
        <v>3417</v>
      </c>
      <c r="I484" s="14" t="s">
        <v>37</v>
      </c>
      <c r="J484" s="14" t="s">
        <v>3418</v>
      </c>
      <c r="K484" s="16" t="s">
        <v>3419</v>
      </c>
      <c r="L484" s="17"/>
      <c r="M484" s="17"/>
      <c r="N484" s="11"/>
      <c r="O484" s="11"/>
    </row>
    <row r="485" ht="22.5" customHeight="1">
      <c r="A485" s="11"/>
      <c r="B485" s="12" t="s">
        <v>3420</v>
      </c>
      <c r="C485" s="14" t="s">
        <v>3421</v>
      </c>
      <c r="D485" s="14" t="s">
        <v>3422</v>
      </c>
      <c r="E485" s="14" t="s">
        <v>3423</v>
      </c>
      <c r="F485" s="14" t="s">
        <v>34</v>
      </c>
      <c r="G485" s="15" t="s">
        <v>3424</v>
      </c>
      <c r="H485" s="14" t="s">
        <v>3425</v>
      </c>
      <c r="I485" s="14" t="s">
        <v>26</v>
      </c>
      <c r="J485" s="14" t="s">
        <v>3426</v>
      </c>
      <c r="K485" s="16" t="s">
        <v>3427</v>
      </c>
      <c r="L485" s="17"/>
      <c r="M485" s="14" t="s">
        <v>1861</v>
      </c>
      <c r="N485" s="11"/>
      <c r="O485" s="11"/>
    </row>
    <row r="486" ht="22.5" customHeight="1">
      <c r="A486" s="11"/>
      <c r="B486" s="12" t="s">
        <v>2599</v>
      </c>
      <c r="C486" s="14" t="s">
        <v>2600</v>
      </c>
      <c r="D486" s="14" t="s">
        <v>3428</v>
      </c>
      <c r="E486" s="14" t="s">
        <v>3429</v>
      </c>
      <c r="F486" s="14" t="s">
        <v>44</v>
      </c>
      <c r="G486" s="15" t="s">
        <v>2603</v>
      </c>
      <c r="H486" s="14" t="s">
        <v>2604</v>
      </c>
      <c r="I486" s="14" t="s">
        <v>399</v>
      </c>
      <c r="J486" s="14" t="s">
        <v>3430</v>
      </c>
      <c r="K486" s="16" t="s">
        <v>2606</v>
      </c>
      <c r="L486" s="17"/>
      <c r="M486" s="17"/>
      <c r="N486" s="11"/>
      <c r="O486" s="11"/>
    </row>
    <row r="487" ht="22.5" customHeight="1">
      <c r="A487" s="11"/>
      <c r="B487" s="12" t="s">
        <v>3431</v>
      </c>
      <c r="C487" s="14" t="s">
        <v>3432</v>
      </c>
      <c r="D487" s="14" t="s">
        <v>3433</v>
      </c>
      <c r="E487" s="14" t="s">
        <v>3434</v>
      </c>
      <c r="F487" s="14" t="s">
        <v>44</v>
      </c>
      <c r="G487" s="15" t="s">
        <v>3435</v>
      </c>
      <c r="H487" s="14" t="s">
        <v>3436</v>
      </c>
      <c r="I487" s="14" t="s">
        <v>399</v>
      </c>
      <c r="J487" s="14" t="s">
        <v>3437</v>
      </c>
      <c r="K487" s="16" t="s">
        <v>3438</v>
      </c>
      <c r="L487" s="17"/>
      <c r="M487" s="17"/>
      <c r="N487" s="11"/>
      <c r="O487" s="11"/>
    </row>
    <row r="488" ht="22.5" customHeight="1">
      <c r="A488" s="11"/>
      <c r="B488" s="12" t="s">
        <v>3439</v>
      </c>
      <c r="C488" s="14" t="s">
        <v>3440</v>
      </c>
      <c r="D488" s="14" t="s">
        <v>3441</v>
      </c>
      <c r="E488" s="14" t="s">
        <v>3442</v>
      </c>
      <c r="F488" s="14" t="s">
        <v>44</v>
      </c>
      <c r="G488" s="15" t="s">
        <v>3443</v>
      </c>
      <c r="H488" s="14" t="s">
        <v>3444</v>
      </c>
      <c r="I488" s="14" t="s">
        <v>37</v>
      </c>
      <c r="J488" s="14" t="s">
        <v>3445</v>
      </c>
      <c r="K488" s="16" t="s">
        <v>3446</v>
      </c>
      <c r="L488" s="17"/>
      <c r="M488" s="17"/>
      <c r="N488" s="11"/>
      <c r="O488" s="11"/>
    </row>
    <row r="489" ht="22.5" customHeight="1">
      <c r="A489" s="11"/>
      <c r="B489" s="12" t="s">
        <v>3447</v>
      </c>
      <c r="C489" s="14" t="s">
        <v>3448</v>
      </c>
      <c r="D489" s="14" t="s">
        <v>3449</v>
      </c>
      <c r="E489" s="14" t="s">
        <v>3450</v>
      </c>
      <c r="F489" s="14" t="s">
        <v>44</v>
      </c>
      <c r="G489" s="15" t="s">
        <v>3451</v>
      </c>
      <c r="H489" s="14" t="s">
        <v>3452</v>
      </c>
      <c r="I489" s="14" t="s">
        <v>37</v>
      </c>
      <c r="J489" s="14" t="s">
        <v>3453</v>
      </c>
      <c r="K489" s="16" t="s">
        <v>3454</v>
      </c>
      <c r="L489" s="17"/>
      <c r="M489" s="17"/>
      <c r="N489" s="11"/>
      <c r="O489" s="11"/>
    </row>
    <row r="490" ht="22.5" customHeight="1">
      <c r="A490" s="11"/>
      <c r="B490" s="12" t="s">
        <v>3250</v>
      </c>
      <c r="C490" s="14" t="s">
        <v>3251</v>
      </c>
      <c r="D490" s="14" t="s">
        <v>3252</v>
      </c>
      <c r="E490" s="14" t="s">
        <v>3455</v>
      </c>
      <c r="F490" s="14" t="s">
        <v>34</v>
      </c>
      <c r="G490" s="15" t="s">
        <v>3254</v>
      </c>
      <c r="H490" s="14" t="s">
        <v>3255</v>
      </c>
      <c r="I490" s="14" t="s">
        <v>2881</v>
      </c>
      <c r="J490" s="14" t="s">
        <v>3456</v>
      </c>
      <c r="K490" s="16" t="s">
        <v>3257</v>
      </c>
      <c r="L490" s="17"/>
      <c r="M490" s="17"/>
      <c r="N490" s="11"/>
      <c r="O490" s="11"/>
    </row>
    <row r="491" ht="22.5" customHeight="1">
      <c r="A491" s="11"/>
      <c r="B491" s="12" t="s">
        <v>3457</v>
      </c>
      <c r="C491" s="14" t="s">
        <v>3458</v>
      </c>
      <c r="D491" s="14" t="s">
        <v>3459</v>
      </c>
      <c r="E491" s="14" t="s">
        <v>3460</v>
      </c>
      <c r="F491" s="14" t="s">
        <v>34</v>
      </c>
      <c r="G491" s="15" t="s">
        <v>3461</v>
      </c>
      <c r="H491" s="14" t="s">
        <v>3462</v>
      </c>
      <c r="I491" s="14" t="s">
        <v>37</v>
      </c>
      <c r="J491" s="14" t="s">
        <v>3463</v>
      </c>
      <c r="K491" s="16" t="s">
        <v>3464</v>
      </c>
      <c r="L491" s="17"/>
      <c r="M491" s="17"/>
      <c r="N491" s="11"/>
      <c r="O491" s="11"/>
    </row>
    <row r="492" ht="22.5" customHeight="1">
      <c r="A492" s="11"/>
      <c r="B492" s="12" t="s">
        <v>3465</v>
      </c>
      <c r="C492" s="14" t="s">
        <v>3466</v>
      </c>
      <c r="D492" s="14" t="s">
        <v>3467</v>
      </c>
      <c r="E492" s="14" t="s">
        <v>3468</v>
      </c>
      <c r="F492" s="14" t="s">
        <v>53</v>
      </c>
      <c r="G492" s="15" t="s">
        <v>3469</v>
      </c>
      <c r="H492" s="14" t="s">
        <v>3470</v>
      </c>
      <c r="I492" s="14" t="s">
        <v>37</v>
      </c>
      <c r="J492" s="14" t="s">
        <v>3471</v>
      </c>
      <c r="K492" s="16" t="s">
        <v>3472</v>
      </c>
      <c r="L492" s="17"/>
      <c r="M492" s="17"/>
      <c r="N492" s="11"/>
      <c r="O492" s="11"/>
    </row>
    <row r="493" ht="22.5" customHeight="1">
      <c r="A493" s="11"/>
      <c r="B493" s="12" t="s">
        <v>3473</v>
      </c>
      <c r="C493" s="14" t="s">
        <v>3474</v>
      </c>
      <c r="D493" s="14" t="s">
        <v>3474</v>
      </c>
      <c r="E493" s="14" t="s">
        <v>3475</v>
      </c>
      <c r="F493" s="14" t="s">
        <v>62</v>
      </c>
      <c r="G493" s="15" t="s">
        <v>3476</v>
      </c>
      <c r="H493" s="14" t="s">
        <v>3477</v>
      </c>
      <c r="I493" s="14" t="s">
        <v>26</v>
      </c>
      <c r="J493" s="14" t="s">
        <v>3478</v>
      </c>
      <c r="K493" s="16" t="s">
        <v>3479</v>
      </c>
      <c r="L493" s="17"/>
      <c r="M493" s="14" t="s">
        <v>1861</v>
      </c>
      <c r="N493" s="11"/>
      <c r="O493" s="11"/>
    </row>
    <row r="494" ht="22.5" customHeight="1">
      <c r="A494" s="11"/>
      <c r="B494" s="12" t="s">
        <v>3480</v>
      </c>
      <c r="C494" s="14" t="s">
        <v>3481</v>
      </c>
      <c r="D494" s="14" t="s">
        <v>3482</v>
      </c>
      <c r="E494" s="14" t="s">
        <v>3483</v>
      </c>
      <c r="F494" s="14" t="s">
        <v>44</v>
      </c>
      <c r="G494" s="15" t="s">
        <v>3484</v>
      </c>
      <c r="H494" s="14" t="s">
        <v>3485</v>
      </c>
      <c r="I494" s="14" t="s">
        <v>37</v>
      </c>
      <c r="J494" s="14" t="s">
        <v>3486</v>
      </c>
      <c r="K494" s="16" t="s">
        <v>3487</v>
      </c>
      <c r="L494" s="17"/>
      <c r="M494" s="17"/>
      <c r="N494" s="11"/>
      <c r="O494" s="11"/>
    </row>
    <row r="495" ht="22.5" customHeight="1">
      <c r="A495" s="11"/>
      <c r="B495" s="12" t="s">
        <v>3488</v>
      </c>
      <c r="C495" s="14" t="s">
        <v>3489</v>
      </c>
      <c r="D495" s="14" t="s">
        <v>3490</v>
      </c>
      <c r="E495" s="14" t="s">
        <v>3491</v>
      </c>
      <c r="F495" s="14" t="s">
        <v>23</v>
      </c>
      <c r="G495" s="15" t="s">
        <v>3492</v>
      </c>
      <c r="H495" s="14" t="s">
        <v>3493</v>
      </c>
      <c r="I495" s="14" t="s">
        <v>37</v>
      </c>
      <c r="J495" s="14" t="s">
        <v>3494</v>
      </c>
      <c r="K495" s="16" t="s">
        <v>3495</v>
      </c>
      <c r="L495" s="17"/>
      <c r="M495" s="17"/>
      <c r="N495" s="11"/>
      <c r="O495" s="11"/>
    </row>
    <row r="496" ht="22.5" customHeight="1">
      <c r="A496" s="11"/>
      <c r="B496" s="12" t="s">
        <v>3496</v>
      </c>
      <c r="C496" s="14" t="s">
        <v>3497</v>
      </c>
      <c r="D496" s="14" t="s">
        <v>3498</v>
      </c>
      <c r="E496" s="14" t="s">
        <v>3499</v>
      </c>
      <c r="F496" s="14" t="s">
        <v>44</v>
      </c>
      <c r="G496" s="15" t="s">
        <v>3500</v>
      </c>
      <c r="H496" s="14" t="s">
        <v>3501</v>
      </c>
      <c r="I496" s="14" t="s">
        <v>37</v>
      </c>
      <c r="J496" s="14" t="s">
        <v>3502</v>
      </c>
      <c r="K496" s="16" t="s">
        <v>3503</v>
      </c>
      <c r="L496" s="17"/>
      <c r="M496" s="17"/>
      <c r="N496" s="11"/>
      <c r="O496" s="11"/>
    </row>
    <row r="497" ht="22.5" customHeight="1">
      <c r="A497" s="11"/>
      <c r="B497" s="12" t="s">
        <v>3504</v>
      </c>
      <c r="C497" s="14" t="s">
        <v>3505</v>
      </c>
      <c r="D497" s="14" t="s">
        <v>3506</v>
      </c>
      <c r="E497" s="14" t="s">
        <v>3507</v>
      </c>
      <c r="F497" s="14" t="s">
        <v>62</v>
      </c>
      <c r="G497" s="15" t="s">
        <v>3508</v>
      </c>
      <c r="H497" s="14" t="s">
        <v>3509</v>
      </c>
      <c r="I497" s="14" t="s">
        <v>399</v>
      </c>
      <c r="J497" s="14" t="s">
        <v>3510</v>
      </c>
      <c r="K497" s="16" t="s">
        <v>3511</v>
      </c>
      <c r="L497" s="17"/>
      <c r="M497" s="17"/>
      <c r="N497" s="11"/>
      <c r="O497" s="11"/>
    </row>
    <row r="498" ht="22.5" customHeight="1">
      <c r="A498" s="11"/>
      <c r="B498" s="12" t="s">
        <v>3488</v>
      </c>
      <c r="C498" s="14" t="s">
        <v>3489</v>
      </c>
      <c r="D498" s="14" t="s">
        <v>3512</v>
      </c>
      <c r="E498" s="14" t="s">
        <v>2629</v>
      </c>
      <c r="F498" s="14" t="s">
        <v>53</v>
      </c>
      <c r="G498" s="15" t="s">
        <v>3492</v>
      </c>
      <c r="H498" s="14" t="s">
        <v>3493</v>
      </c>
      <c r="I498" s="14" t="s">
        <v>37</v>
      </c>
      <c r="J498" s="14" t="s">
        <v>3513</v>
      </c>
      <c r="K498" s="16" t="s">
        <v>3495</v>
      </c>
      <c r="L498" s="17"/>
      <c r="M498" s="17"/>
      <c r="N498" s="11"/>
      <c r="O498" s="11"/>
    </row>
    <row r="499" ht="22.5" customHeight="1">
      <c r="A499" s="11"/>
      <c r="B499" s="12" t="s">
        <v>2565</v>
      </c>
      <c r="C499" s="14" t="s">
        <v>2566</v>
      </c>
      <c r="D499" s="14" t="s">
        <v>3514</v>
      </c>
      <c r="E499" s="14" t="s">
        <v>3515</v>
      </c>
      <c r="F499" s="14" t="s">
        <v>34</v>
      </c>
      <c r="G499" s="15" t="s">
        <v>2569</v>
      </c>
      <c r="H499" s="14" t="s">
        <v>3516</v>
      </c>
      <c r="I499" s="14" t="s">
        <v>37</v>
      </c>
      <c r="J499" s="14" t="s">
        <v>3517</v>
      </c>
      <c r="K499" s="16" t="s">
        <v>2572</v>
      </c>
      <c r="L499" s="17"/>
      <c r="M499" s="17"/>
      <c r="N499" s="11"/>
      <c r="O499" s="11"/>
    </row>
    <row r="500" ht="22.5" customHeight="1">
      <c r="A500" s="11"/>
      <c r="B500" s="12" t="s">
        <v>3518</v>
      </c>
      <c r="C500" s="14" t="s">
        <v>3519</v>
      </c>
      <c r="D500" s="14" t="s">
        <v>3520</v>
      </c>
      <c r="E500" s="14" t="s">
        <v>3521</v>
      </c>
      <c r="F500" s="14" t="s">
        <v>44</v>
      </c>
      <c r="G500" s="15" t="s">
        <v>3522</v>
      </c>
      <c r="H500" s="14" t="s">
        <v>3523</v>
      </c>
      <c r="I500" s="14" t="s">
        <v>37</v>
      </c>
      <c r="J500" s="14" t="s">
        <v>3524</v>
      </c>
      <c r="K500" s="16" t="s">
        <v>3525</v>
      </c>
      <c r="L500" s="17"/>
      <c r="M500" s="17"/>
      <c r="N500" s="11"/>
      <c r="O500" s="11"/>
    </row>
    <row r="501" ht="22.5" customHeight="1">
      <c r="A501" s="11"/>
      <c r="B501" s="12" t="s">
        <v>3526</v>
      </c>
      <c r="C501" s="14" t="s">
        <v>3527</v>
      </c>
      <c r="D501" s="14" t="s">
        <v>3528</v>
      </c>
      <c r="E501" s="14" t="s">
        <v>3529</v>
      </c>
      <c r="F501" s="14" t="s">
        <v>62</v>
      </c>
      <c r="G501" s="15" t="s">
        <v>3530</v>
      </c>
      <c r="H501" s="14" t="s">
        <v>3531</v>
      </c>
      <c r="I501" s="14" t="s">
        <v>399</v>
      </c>
      <c r="J501" s="14" t="s">
        <v>3532</v>
      </c>
      <c r="K501" s="16" t="s">
        <v>3533</v>
      </c>
      <c r="L501" s="17"/>
      <c r="M501" s="17"/>
      <c r="N501" s="11"/>
      <c r="O501" s="11"/>
    </row>
    <row r="502" ht="22.5" customHeight="1">
      <c r="A502" s="11"/>
      <c r="B502" s="12" t="s">
        <v>3534</v>
      </c>
      <c r="C502" s="14" t="s">
        <v>3535</v>
      </c>
      <c r="D502" s="14" t="s">
        <v>3536</v>
      </c>
      <c r="E502" s="14" t="s">
        <v>3537</v>
      </c>
      <c r="F502" s="14" t="s">
        <v>44</v>
      </c>
      <c r="G502" s="15" t="s">
        <v>3538</v>
      </c>
      <c r="H502" s="14" t="s">
        <v>3539</v>
      </c>
      <c r="I502" s="14" t="s">
        <v>37</v>
      </c>
      <c r="J502" s="14" t="s">
        <v>3540</v>
      </c>
      <c r="K502" s="16" t="s">
        <v>3541</v>
      </c>
      <c r="L502" s="17"/>
      <c r="M502" s="17"/>
      <c r="N502" s="11"/>
      <c r="O502" s="11"/>
    </row>
    <row r="503" ht="22.5" customHeight="1">
      <c r="A503" s="11"/>
      <c r="B503" s="12" t="s">
        <v>3542</v>
      </c>
      <c r="C503" s="14" t="s">
        <v>3543</v>
      </c>
      <c r="D503" s="14" t="s">
        <v>3544</v>
      </c>
      <c r="E503" s="14" t="s">
        <v>3545</v>
      </c>
      <c r="F503" s="14" t="s">
        <v>44</v>
      </c>
      <c r="G503" s="15" t="s">
        <v>3546</v>
      </c>
      <c r="H503" s="14" t="s">
        <v>3547</v>
      </c>
      <c r="I503" s="14" t="s">
        <v>26</v>
      </c>
      <c r="J503" s="14" t="s">
        <v>3548</v>
      </c>
      <c r="K503" s="16" t="s">
        <v>3549</v>
      </c>
      <c r="L503" s="17"/>
      <c r="M503" s="17"/>
      <c r="N503" s="11"/>
      <c r="O503" s="11"/>
    </row>
    <row r="504" ht="22.5" customHeight="1">
      <c r="A504" s="11"/>
      <c r="B504" s="12" t="s">
        <v>219</v>
      </c>
      <c r="C504" s="14" t="s">
        <v>220</v>
      </c>
      <c r="D504" s="14" t="s">
        <v>3550</v>
      </c>
      <c r="E504" s="14" t="s">
        <v>3551</v>
      </c>
      <c r="F504" s="14" t="s">
        <v>44</v>
      </c>
      <c r="G504" s="15" t="s">
        <v>998</v>
      </c>
      <c r="H504" s="14" t="s">
        <v>224</v>
      </c>
      <c r="I504" s="14" t="s">
        <v>37</v>
      </c>
      <c r="J504" s="14" t="s">
        <v>3552</v>
      </c>
      <c r="K504" s="16" t="s">
        <v>226</v>
      </c>
      <c r="L504" s="17"/>
      <c r="M504" s="17"/>
      <c r="N504" s="11"/>
      <c r="O504" s="11"/>
    </row>
    <row r="505" ht="22.5" customHeight="1">
      <c r="A505" s="11"/>
      <c r="B505" s="12" t="s">
        <v>3553</v>
      </c>
      <c r="C505" s="14" t="s">
        <v>3554</v>
      </c>
      <c r="D505" s="14" t="s">
        <v>3555</v>
      </c>
      <c r="E505" s="14" t="s">
        <v>3556</v>
      </c>
      <c r="F505" s="14" t="s">
        <v>23</v>
      </c>
      <c r="G505" s="15" t="s">
        <v>3557</v>
      </c>
      <c r="H505" s="14" t="s">
        <v>3558</v>
      </c>
      <c r="I505" s="14" t="s">
        <v>37</v>
      </c>
      <c r="J505" s="14" t="s">
        <v>3559</v>
      </c>
      <c r="K505" s="16" t="s">
        <v>3560</v>
      </c>
      <c r="L505" s="17"/>
      <c r="M505" s="14" t="s">
        <v>3561</v>
      </c>
      <c r="N505" s="11"/>
      <c r="O505" s="11"/>
    </row>
    <row r="506" ht="22.5" customHeight="1">
      <c r="A506" s="11"/>
      <c r="B506" s="12" t="s">
        <v>3562</v>
      </c>
      <c r="C506" s="14" t="s">
        <v>3563</v>
      </c>
      <c r="D506" s="14" t="s">
        <v>3564</v>
      </c>
      <c r="E506" s="14" t="s">
        <v>3565</v>
      </c>
      <c r="F506" s="14" t="s">
        <v>34</v>
      </c>
      <c r="G506" s="15" t="s">
        <v>3566</v>
      </c>
      <c r="H506" s="14" t="s">
        <v>3567</v>
      </c>
      <c r="I506" s="14" t="s">
        <v>37</v>
      </c>
      <c r="J506" s="14" t="s">
        <v>3568</v>
      </c>
      <c r="K506" s="16" t="s">
        <v>3569</v>
      </c>
      <c r="L506" s="17"/>
      <c r="M506" s="17"/>
      <c r="N506" s="11"/>
      <c r="O506" s="11"/>
    </row>
    <row r="507" ht="22.5" customHeight="1">
      <c r="A507" s="11"/>
      <c r="B507" s="12" t="s">
        <v>3570</v>
      </c>
      <c r="C507" s="14" t="s">
        <v>3571</v>
      </c>
      <c r="D507" s="14" t="s">
        <v>3572</v>
      </c>
      <c r="E507" s="14" t="s">
        <v>3573</v>
      </c>
      <c r="F507" s="14" t="s">
        <v>1123</v>
      </c>
      <c r="G507" s="15" t="s">
        <v>3574</v>
      </c>
      <c r="H507" s="14" t="s">
        <v>3575</v>
      </c>
      <c r="I507" s="14" t="s">
        <v>399</v>
      </c>
      <c r="J507" s="14" t="s">
        <v>3576</v>
      </c>
      <c r="K507" s="16" t="s">
        <v>3577</v>
      </c>
      <c r="L507" s="17"/>
      <c r="M507" s="17"/>
      <c r="N507" s="11"/>
      <c r="O507" s="11"/>
    </row>
    <row r="508" ht="22.5" customHeight="1">
      <c r="A508" s="11"/>
      <c r="B508" s="12" t="s">
        <v>3578</v>
      </c>
      <c r="C508" s="14" t="s">
        <v>3579</v>
      </c>
      <c r="D508" s="14" t="s">
        <v>3580</v>
      </c>
      <c r="E508" s="14" t="s">
        <v>3581</v>
      </c>
      <c r="F508" s="14" t="s">
        <v>62</v>
      </c>
      <c r="G508" s="15" t="s">
        <v>3582</v>
      </c>
      <c r="H508" s="14" t="s">
        <v>3583</v>
      </c>
      <c r="I508" s="14" t="s">
        <v>37</v>
      </c>
      <c r="J508" s="14" t="s">
        <v>3584</v>
      </c>
      <c r="K508" s="16" t="s">
        <v>3585</v>
      </c>
      <c r="L508" s="17"/>
      <c r="M508" s="17"/>
      <c r="N508" s="11"/>
      <c r="O508" s="11"/>
    </row>
    <row r="509" ht="22.5" customHeight="1">
      <c r="A509" s="11"/>
      <c r="B509" s="12" t="s">
        <v>3183</v>
      </c>
      <c r="C509" s="14" t="s">
        <v>3184</v>
      </c>
      <c r="D509" s="14" t="s">
        <v>3586</v>
      </c>
      <c r="E509" s="14" t="s">
        <v>3587</v>
      </c>
      <c r="F509" s="14" t="s">
        <v>34</v>
      </c>
      <c r="G509" s="15" t="s">
        <v>3187</v>
      </c>
      <c r="H509" s="14" t="s">
        <v>3188</v>
      </c>
      <c r="I509" s="14" t="s">
        <v>37</v>
      </c>
      <c r="J509" s="14" t="s">
        <v>3189</v>
      </c>
      <c r="K509" s="16" t="s">
        <v>3190</v>
      </c>
      <c r="L509" s="17"/>
      <c r="M509" s="17"/>
      <c r="N509" s="11"/>
      <c r="O509" s="11"/>
    </row>
    <row r="510" ht="22.5" customHeight="1">
      <c r="A510" s="11"/>
      <c r="B510" s="12" t="s">
        <v>104</v>
      </c>
      <c r="C510" s="14" t="s">
        <v>105</v>
      </c>
      <c r="D510" s="14" t="s">
        <v>3588</v>
      </c>
      <c r="E510" s="14" t="s">
        <v>3589</v>
      </c>
      <c r="F510" s="14" t="s">
        <v>34</v>
      </c>
      <c r="G510" s="15" t="s">
        <v>107</v>
      </c>
      <c r="H510" s="14" t="s">
        <v>108</v>
      </c>
      <c r="I510" s="14" t="s">
        <v>26</v>
      </c>
      <c r="J510" s="14" t="s">
        <v>2852</v>
      </c>
      <c r="K510" s="16" t="s">
        <v>347</v>
      </c>
      <c r="L510" s="17"/>
      <c r="M510" s="17"/>
      <c r="N510" s="11"/>
      <c r="O510" s="11"/>
    </row>
    <row r="511" ht="22.5" customHeight="1">
      <c r="A511" s="11"/>
      <c r="B511" s="12" t="s">
        <v>3590</v>
      </c>
      <c r="C511" s="14" t="s">
        <v>3591</v>
      </c>
      <c r="D511" s="14" t="s">
        <v>3592</v>
      </c>
      <c r="E511" s="14" t="s">
        <v>3593</v>
      </c>
      <c r="F511" s="14" t="s">
        <v>62</v>
      </c>
      <c r="G511" s="15" t="s">
        <v>3594</v>
      </c>
      <c r="H511" s="14" t="s">
        <v>3595</v>
      </c>
      <c r="I511" s="14" t="s">
        <v>2881</v>
      </c>
      <c r="J511" s="14" t="s">
        <v>3596</v>
      </c>
      <c r="K511" s="16" t="s">
        <v>3597</v>
      </c>
      <c r="L511" s="14" t="s">
        <v>3598</v>
      </c>
      <c r="M511" s="17"/>
      <c r="N511" s="11"/>
      <c r="O511" s="11"/>
    </row>
    <row r="512" ht="22.5" customHeight="1">
      <c r="A512" s="11"/>
      <c r="B512" s="12" t="s">
        <v>3599</v>
      </c>
      <c r="C512" s="14" t="s">
        <v>3600</v>
      </c>
      <c r="D512" s="14" t="s">
        <v>3601</v>
      </c>
      <c r="E512" s="14" t="s">
        <v>3602</v>
      </c>
      <c r="F512" s="14" t="s">
        <v>44</v>
      </c>
      <c r="G512" s="15" t="s">
        <v>3603</v>
      </c>
      <c r="H512" s="14" t="s">
        <v>3604</v>
      </c>
      <c r="I512" s="14" t="s">
        <v>2881</v>
      </c>
      <c r="J512" s="14" t="s">
        <v>3605</v>
      </c>
      <c r="K512" s="16" t="s">
        <v>3606</v>
      </c>
      <c r="L512" s="17"/>
      <c r="M512" s="17"/>
      <c r="N512" s="11"/>
      <c r="O512" s="11"/>
    </row>
    <row r="513" ht="22.5" customHeight="1">
      <c r="A513" s="11"/>
      <c r="B513" s="12" t="s">
        <v>3607</v>
      </c>
      <c r="C513" s="14" t="s">
        <v>3608</v>
      </c>
      <c r="D513" s="14" t="s">
        <v>3609</v>
      </c>
      <c r="E513" s="14" t="s">
        <v>3610</v>
      </c>
      <c r="F513" s="14" t="s">
        <v>34</v>
      </c>
      <c r="G513" s="15" t="s">
        <v>3611</v>
      </c>
      <c r="H513" s="14" t="s">
        <v>3612</v>
      </c>
      <c r="I513" s="14" t="s">
        <v>37</v>
      </c>
      <c r="J513" s="14" t="s">
        <v>3613</v>
      </c>
      <c r="K513" s="16" t="s">
        <v>3614</v>
      </c>
      <c r="L513" s="17"/>
      <c r="M513" s="14" t="s">
        <v>1861</v>
      </c>
      <c r="N513" s="11"/>
      <c r="O513" s="11"/>
    </row>
    <row r="514" ht="22.5" customHeight="1">
      <c r="A514" s="11"/>
      <c r="B514" s="12" t="s">
        <v>3615</v>
      </c>
      <c r="C514" s="14" t="s">
        <v>3616</v>
      </c>
      <c r="D514" s="14" t="s">
        <v>3617</v>
      </c>
      <c r="E514" s="14" t="s">
        <v>3618</v>
      </c>
      <c r="F514" s="14" t="s">
        <v>44</v>
      </c>
      <c r="G514" s="15" t="s">
        <v>3619</v>
      </c>
      <c r="H514" s="14" t="s">
        <v>3620</v>
      </c>
      <c r="I514" s="14" t="s">
        <v>26</v>
      </c>
      <c r="J514" s="14" t="s">
        <v>3621</v>
      </c>
      <c r="K514" s="16" t="s">
        <v>3622</v>
      </c>
      <c r="L514" s="17"/>
      <c r="M514" s="17"/>
      <c r="N514" s="11"/>
      <c r="O514" s="11"/>
    </row>
    <row r="515" ht="22.5" customHeight="1">
      <c r="A515" s="11"/>
      <c r="B515" s="12" t="s">
        <v>3623</v>
      </c>
      <c r="C515" s="14" t="s">
        <v>3624</v>
      </c>
      <c r="D515" s="14" t="s">
        <v>3624</v>
      </c>
      <c r="E515" s="14" t="s">
        <v>3625</v>
      </c>
      <c r="F515" s="14" t="s">
        <v>34</v>
      </c>
      <c r="G515" s="15" t="s">
        <v>3626</v>
      </c>
      <c r="H515" s="14" t="s">
        <v>3627</v>
      </c>
      <c r="I515" s="14" t="s">
        <v>37</v>
      </c>
      <c r="J515" s="14" t="s">
        <v>3628</v>
      </c>
      <c r="K515" s="16" t="s">
        <v>3629</v>
      </c>
      <c r="L515" s="17"/>
      <c r="M515" s="17"/>
      <c r="N515" s="11"/>
      <c r="O515" s="11"/>
    </row>
    <row r="516" ht="22.5" customHeight="1">
      <c r="A516" s="11"/>
      <c r="B516" s="12" t="s">
        <v>3630</v>
      </c>
      <c r="C516" s="14" t="s">
        <v>3631</v>
      </c>
      <c r="D516" s="14" t="s">
        <v>3632</v>
      </c>
      <c r="E516" s="14" t="s">
        <v>3633</v>
      </c>
      <c r="F516" s="14" t="s">
        <v>34</v>
      </c>
      <c r="G516" s="15" t="s">
        <v>3634</v>
      </c>
      <c r="H516" s="14" t="s">
        <v>3635</v>
      </c>
      <c r="I516" s="14" t="s">
        <v>37</v>
      </c>
      <c r="J516" s="14" t="s">
        <v>3628</v>
      </c>
      <c r="K516" s="16" t="s">
        <v>3629</v>
      </c>
      <c r="L516" s="17"/>
      <c r="M516" s="17"/>
      <c r="N516" s="11"/>
      <c r="O516" s="11"/>
    </row>
    <row r="517" ht="22.5" customHeight="1">
      <c r="A517" s="11"/>
      <c r="B517" s="12" t="s">
        <v>3636</v>
      </c>
      <c r="C517" s="14" t="s">
        <v>3637</v>
      </c>
      <c r="D517" s="14" t="s">
        <v>3638</v>
      </c>
      <c r="E517" s="14" t="s">
        <v>3639</v>
      </c>
      <c r="F517" s="14" t="s">
        <v>238</v>
      </c>
      <c r="G517" s="15" t="s">
        <v>3640</v>
      </c>
      <c r="H517" s="14" t="s">
        <v>3641</v>
      </c>
      <c r="I517" s="14" t="s">
        <v>399</v>
      </c>
      <c r="J517" s="14" t="s">
        <v>3642</v>
      </c>
      <c r="K517" s="16" t="s">
        <v>3643</v>
      </c>
      <c r="L517" s="17"/>
      <c r="M517" s="14" t="s">
        <v>3644</v>
      </c>
      <c r="N517" s="11"/>
      <c r="O517" s="11"/>
    </row>
    <row r="518" ht="22.5" customHeight="1">
      <c r="A518" s="11"/>
      <c r="B518" s="12" t="s">
        <v>3645</v>
      </c>
      <c r="C518" s="14" t="s">
        <v>3646</v>
      </c>
      <c r="D518" s="14" t="s">
        <v>3647</v>
      </c>
      <c r="E518" s="14" t="s">
        <v>3648</v>
      </c>
      <c r="F518" s="14" t="s">
        <v>44</v>
      </c>
      <c r="G518" s="15" t="s">
        <v>3649</v>
      </c>
      <c r="H518" s="14" t="s">
        <v>3650</v>
      </c>
      <c r="I518" s="14" t="s">
        <v>26</v>
      </c>
      <c r="J518" s="14" t="s">
        <v>3651</v>
      </c>
      <c r="K518" s="16" t="s">
        <v>3652</v>
      </c>
      <c r="L518" s="14" t="s">
        <v>3653</v>
      </c>
      <c r="M518" s="14" t="s">
        <v>3654</v>
      </c>
      <c r="N518" s="11"/>
      <c r="O518" s="11"/>
    </row>
    <row r="519" ht="22.5" customHeight="1">
      <c r="A519" s="11"/>
      <c r="B519" s="12" t="s">
        <v>3645</v>
      </c>
      <c r="C519" s="14" t="s">
        <v>3646</v>
      </c>
      <c r="D519" s="14" t="s">
        <v>3647</v>
      </c>
      <c r="E519" s="14" t="s">
        <v>3655</v>
      </c>
      <c r="F519" s="14" t="s">
        <v>23</v>
      </c>
      <c r="G519" s="15" t="s">
        <v>3656</v>
      </c>
      <c r="H519" s="14" t="s">
        <v>3657</v>
      </c>
      <c r="I519" s="14" t="s">
        <v>2881</v>
      </c>
      <c r="J519" s="14" t="s">
        <v>3651</v>
      </c>
      <c r="K519" s="16" t="s">
        <v>3652</v>
      </c>
      <c r="L519" s="14" t="s">
        <v>3653</v>
      </c>
      <c r="M519" s="14" t="s">
        <v>3654</v>
      </c>
      <c r="N519" s="11"/>
      <c r="O519" s="11"/>
    </row>
    <row r="520" ht="22.5" customHeight="1">
      <c r="A520" s="11"/>
      <c r="B520" s="12" t="s">
        <v>3658</v>
      </c>
      <c r="C520" s="14" t="s">
        <v>3659</v>
      </c>
      <c r="D520" s="14" t="s">
        <v>3660</v>
      </c>
      <c r="E520" s="14" t="s">
        <v>3661</v>
      </c>
      <c r="F520" s="14" t="s">
        <v>44</v>
      </c>
      <c r="G520" s="15" t="s">
        <v>3662</v>
      </c>
      <c r="H520" s="14" t="s">
        <v>3663</v>
      </c>
      <c r="I520" s="14" t="s">
        <v>2881</v>
      </c>
      <c r="J520" s="14" t="s">
        <v>3664</v>
      </c>
      <c r="K520" s="16" t="s">
        <v>3665</v>
      </c>
      <c r="L520" s="17"/>
      <c r="M520" s="17"/>
      <c r="N520" s="11"/>
      <c r="O520" s="11"/>
    </row>
    <row r="521" ht="22.5" customHeight="1">
      <c r="A521" s="11"/>
      <c r="B521" s="12" t="s">
        <v>3666</v>
      </c>
      <c r="C521" s="14" t="s">
        <v>3667</v>
      </c>
      <c r="D521" s="14" t="s">
        <v>3668</v>
      </c>
      <c r="E521" s="14" t="s">
        <v>3669</v>
      </c>
      <c r="F521" s="14" t="s">
        <v>23</v>
      </c>
      <c r="G521" s="15" t="s">
        <v>3670</v>
      </c>
      <c r="H521" s="14" t="s">
        <v>3671</v>
      </c>
      <c r="I521" s="14" t="s">
        <v>2881</v>
      </c>
      <c r="J521" s="14" t="s">
        <v>3672</v>
      </c>
      <c r="K521" s="16" t="s">
        <v>3673</v>
      </c>
      <c r="L521" s="14" t="s">
        <v>3674</v>
      </c>
      <c r="M521" s="17"/>
      <c r="N521" s="11"/>
      <c r="O521" s="11"/>
    </row>
    <row r="522" ht="22.5" customHeight="1">
      <c r="A522" s="11"/>
      <c r="B522" s="12" t="s">
        <v>3675</v>
      </c>
      <c r="C522" s="14" t="s">
        <v>3676</v>
      </c>
      <c r="D522" s="14" t="s">
        <v>3677</v>
      </c>
      <c r="E522" s="14" t="s">
        <v>3678</v>
      </c>
      <c r="F522" s="14" t="s">
        <v>44</v>
      </c>
      <c r="G522" s="15" t="s">
        <v>3679</v>
      </c>
      <c r="H522" s="14" t="s">
        <v>3680</v>
      </c>
      <c r="I522" s="14" t="s">
        <v>399</v>
      </c>
      <c r="J522" s="14" t="s">
        <v>3681</v>
      </c>
      <c r="K522" s="16" t="s">
        <v>3682</v>
      </c>
      <c r="L522" s="17"/>
      <c r="M522" s="17"/>
      <c r="N522" s="11"/>
      <c r="O522" s="11"/>
    </row>
    <row r="523" ht="22.5" customHeight="1">
      <c r="A523" s="11"/>
      <c r="B523" s="12" t="s">
        <v>3683</v>
      </c>
      <c r="C523" s="14" t="s">
        <v>3684</v>
      </c>
      <c r="D523" s="14" t="s">
        <v>3685</v>
      </c>
      <c r="E523" s="14" t="s">
        <v>3686</v>
      </c>
      <c r="F523" s="14" t="s">
        <v>34</v>
      </c>
      <c r="G523" s="15" t="s">
        <v>3687</v>
      </c>
      <c r="H523" s="14" t="s">
        <v>3688</v>
      </c>
      <c r="I523" s="14" t="s">
        <v>399</v>
      </c>
      <c r="J523" s="14" t="s">
        <v>3689</v>
      </c>
      <c r="K523" s="16" t="s">
        <v>3690</v>
      </c>
      <c r="L523" s="17"/>
      <c r="M523" s="17"/>
      <c r="N523" s="11"/>
      <c r="O523" s="11"/>
    </row>
    <row r="524" ht="22.5" customHeight="1">
      <c r="A524" s="11"/>
      <c r="B524" s="12" t="s">
        <v>3014</v>
      </c>
      <c r="C524" s="14" t="s">
        <v>3015</v>
      </c>
      <c r="D524" s="14" t="s">
        <v>3691</v>
      </c>
      <c r="E524" s="14" t="s">
        <v>3692</v>
      </c>
      <c r="F524" s="14" t="s">
        <v>34</v>
      </c>
      <c r="G524" s="15" t="s">
        <v>3693</v>
      </c>
      <c r="H524" s="14" t="s">
        <v>3694</v>
      </c>
      <c r="I524" s="14" t="s">
        <v>399</v>
      </c>
      <c r="J524" s="14" t="s">
        <v>3695</v>
      </c>
      <c r="K524" s="16" t="s">
        <v>3021</v>
      </c>
      <c r="L524" s="14" t="s">
        <v>3022</v>
      </c>
      <c r="M524" s="17"/>
      <c r="N524" s="11"/>
      <c r="O524" s="11"/>
    </row>
    <row r="525" ht="22.5" customHeight="1">
      <c r="A525" s="11"/>
      <c r="B525" s="12" t="s">
        <v>3696</v>
      </c>
      <c r="C525" s="14" t="s">
        <v>3697</v>
      </c>
      <c r="D525" s="14" t="s">
        <v>3698</v>
      </c>
      <c r="E525" s="14" t="s">
        <v>3699</v>
      </c>
      <c r="F525" s="14" t="s">
        <v>44</v>
      </c>
      <c r="G525" s="15" t="s">
        <v>3700</v>
      </c>
      <c r="H525" s="14" t="s">
        <v>3701</v>
      </c>
      <c r="I525" s="14" t="s">
        <v>2881</v>
      </c>
      <c r="J525" s="14" t="s">
        <v>1670</v>
      </c>
      <c r="K525" s="16" t="s">
        <v>1671</v>
      </c>
      <c r="L525" s="17"/>
      <c r="M525" s="14" t="s">
        <v>3702</v>
      </c>
      <c r="N525" s="11"/>
      <c r="O525" s="11"/>
    </row>
    <row r="526" ht="22.5" customHeight="1">
      <c r="A526" s="11"/>
      <c r="B526" s="12" t="s">
        <v>3703</v>
      </c>
      <c r="C526" s="14" t="s">
        <v>3704</v>
      </c>
      <c r="D526" s="14" t="s">
        <v>3705</v>
      </c>
      <c r="E526" s="14" t="s">
        <v>3706</v>
      </c>
      <c r="F526" s="14" t="s">
        <v>23</v>
      </c>
      <c r="G526" s="15" t="s">
        <v>3707</v>
      </c>
      <c r="H526" s="14" t="s">
        <v>3708</v>
      </c>
      <c r="I526" s="14" t="s">
        <v>399</v>
      </c>
      <c r="J526" s="14" t="s">
        <v>3709</v>
      </c>
      <c r="K526" s="16" t="s">
        <v>3710</v>
      </c>
      <c r="L526" s="17"/>
      <c r="M526" s="17"/>
      <c r="N526" s="11"/>
      <c r="O526" s="11"/>
    </row>
  </sheetData>
  <dataValidations>
    <dataValidation allowBlank="1" showDropDown="1" sqref="B2:B526 G2:G526 K2:K526"/>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57.88"/>
    <col customWidth="1" min="3" max="3" width="57.5"/>
    <col customWidth="1" min="4" max="4" width="12.88"/>
  </cols>
  <sheetData>
    <row r="1">
      <c r="A1" s="1" t="s">
        <v>0</v>
      </c>
      <c r="B1" s="1" t="s">
        <v>1</v>
      </c>
      <c r="C1" s="1" t="s">
        <v>2</v>
      </c>
      <c r="D1" s="1" t="s">
        <v>3</v>
      </c>
    </row>
    <row r="2">
      <c r="A2" s="2" t="str">
        <f>IFERROR(__xludf.DUMMYFUNCTION("LET(
  base, FILTER('Respuestas de formulario 1'!B2:G1000, 'Respuestas de formulario 1'!B2:B1000&lt;&gt;""""),
  rucs, CHOOSECOLS(base, 1),
  razones, CHOOSECOLS(base, 2),
  nombres, CHOOSECOLS(base, 3),
  telefonos, CHOOSECOLS(base, 6),
  nombresAjustados, MAP"&amp;"(rucs, razones, nombres, LAMBDA(r, raz, nom, IF(COUNTIF('Respuestas de formulario 1'!B2:B1000, r)&gt;1, raz, nom))),
  tabla, HSTACK(rucs, razones, nombresAjustados, telefonos),
  ARRAYFORMULA(UPPER(SORT(SORTN(tabla, 99999, 2, 1, TRUE), 2, TRUE)))
)"),"0916247349001")</f>
        <v>0916247349001</v>
      </c>
      <c r="B2" s="2" t="str">
        <f>IFERROR(__xludf.DUMMYFUNCTION("""COMPUTED_VALUE"""),"ACOSTA ARELLANO ALEX ARNOLDO")</f>
        <v>ACOSTA ARELLANO ALEX ARNOLDO</v>
      </c>
      <c r="C2" s="2" t="str">
        <f>IFERROR(__xludf.DUMMYFUNCTION("""COMPUTED_VALUE"""),"ACOSTA ARELLANO ALEX ARNOLDO")</f>
        <v>ACOSTA ARELLANO ALEX ARNOLDO</v>
      </c>
      <c r="D2" s="2" t="str">
        <f>IFERROR(__xludf.DUMMYFUNCTION("""COMPUTED_VALUE"""),"0986990657")</f>
        <v>0986990657</v>
      </c>
    </row>
    <row r="3">
      <c r="A3" s="2" t="str">
        <f>IFERROR(__xludf.DUMMYFUNCTION("""COMPUTED_VALUE"""),"1310833015001")</f>
        <v>1310833015001</v>
      </c>
      <c r="B3" s="2" t="str">
        <f>IFERROR(__xludf.DUMMYFUNCTION("""COMPUTED_VALUE"""),"ACOSTA ARELLANO MARITZA MAGDALENA")</f>
        <v>ACOSTA ARELLANO MARITZA MAGDALENA</v>
      </c>
      <c r="C3" s="2" t="str">
        <f>IFERROR(__xludf.DUMMYFUNCTION("""COMPUTED_VALUE"""),"DENTALO")</f>
        <v>DENTALO</v>
      </c>
      <c r="D3" s="2" t="str">
        <f>IFERROR(__xludf.DUMMYFUNCTION("""COMPUTED_VALUE"""),"0983119477")</f>
        <v>0983119477</v>
      </c>
    </row>
    <row r="4">
      <c r="A4" s="2" t="str">
        <f>IFERROR(__xludf.DUMMYFUNCTION("""COMPUTED_VALUE"""),"1302593627001")</f>
        <v>1302593627001</v>
      </c>
      <c r="B4" s="3" t="str">
        <f>IFERROR(__xludf.DUMMYFUNCTION("""COMPUTED_VALUE"""),"ACOSTA INTRIAGO NARCISO GONZALO")</f>
        <v>ACOSTA INTRIAGO NARCISO GONZALO</v>
      </c>
      <c r="C4" s="2" t="str">
        <f>IFERROR(__xludf.DUMMYFUNCTION("""COMPUTED_VALUE"""),"CONSULTORIO DENTAL")</f>
        <v>CONSULTORIO DENTAL</v>
      </c>
      <c r="D4" s="2" t="str">
        <f>IFERROR(__xludf.DUMMYFUNCTION("""COMPUTED_VALUE"""),"0999353345")</f>
        <v>0999353345</v>
      </c>
    </row>
    <row r="5">
      <c r="A5" s="2" t="str">
        <f>IFERROR(__xludf.DUMMYFUNCTION("""COMPUTED_VALUE"""),"1312187626001")</f>
        <v>1312187626001</v>
      </c>
      <c r="B5" s="2" t="str">
        <f>IFERROR(__xludf.DUMMYFUNCTION("""COMPUTED_VALUE"""),"ACOSTA MENDOZA MIGUEL ANGEL")</f>
        <v>ACOSTA MENDOZA MIGUEL ANGEL</v>
      </c>
      <c r="C5" s="2" t="str">
        <f>IFERROR(__xludf.DUMMYFUNCTION("""COMPUTED_VALUE"""),"MIGUEL ACOSTA ESTETICA BUCO FACIAL")</f>
        <v>MIGUEL ACOSTA ESTETICA BUCO FACIAL</v>
      </c>
      <c r="D5" s="2" t="str">
        <f>IFERROR(__xludf.DUMMYFUNCTION("""COMPUTED_VALUE"""),"0995857479")</f>
        <v>0995857479</v>
      </c>
    </row>
    <row r="6">
      <c r="A6" s="2" t="str">
        <f>IFERROR(__xludf.DUMMYFUNCTION("""COMPUTED_VALUE"""),"1309803607001")</f>
        <v>1309803607001</v>
      </c>
      <c r="B6" s="2" t="str">
        <f>IFERROR(__xludf.DUMMYFUNCTION("""COMPUTED_VALUE"""),"AJILA BARREIRO DAMIAN ANTONIO")</f>
        <v>AJILA BARREIRO DAMIAN ANTONIO</v>
      </c>
      <c r="C6" s="2" t="str">
        <f>IFERROR(__xludf.DUMMYFUNCTION("""COMPUTED_VALUE"""),"MANACARE SALUD SA")</f>
        <v>MANACARE SALUD SA</v>
      </c>
      <c r="D6" s="2" t="str">
        <f>IFERROR(__xludf.DUMMYFUNCTION("""COMPUTED_VALUE"""),"0980116155")</f>
        <v>0980116155</v>
      </c>
    </row>
    <row r="7">
      <c r="A7" s="2" t="str">
        <f>IFERROR(__xludf.DUMMYFUNCTION("""COMPUTED_VALUE"""),"1309491445001")</f>
        <v>1309491445001</v>
      </c>
      <c r="B7" s="2" t="str">
        <f>IFERROR(__xludf.DUMMYFUNCTION("""COMPUTED_VALUE"""),"ALARCON BARCIA ALDA NOELIA")</f>
        <v>ALARCON BARCIA ALDA NOELIA</v>
      </c>
      <c r="C7" s="2" t="str">
        <f>IFERROR(__xludf.DUMMYFUNCTION("""COMPUTED_VALUE"""),"NOELIA ALARCÓN ODONTOLOGÍA")</f>
        <v>NOELIA ALARCÓN ODONTOLOGÍA</v>
      </c>
      <c r="D7" s="2" t="str">
        <f>IFERROR(__xludf.DUMMYFUNCTION("""COMPUTED_VALUE"""),"0999270040")</f>
        <v>0999270040</v>
      </c>
    </row>
    <row r="8">
      <c r="A8" s="2" t="str">
        <f>IFERROR(__xludf.DUMMYFUNCTION("""COMPUTED_VALUE"""),"1303871519001")</f>
        <v>1303871519001</v>
      </c>
      <c r="B8" s="2" t="str">
        <f>IFERROR(__xludf.DUMMYFUNCTION("""COMPUTED_VALUE"""),"ALAVA CEDEÑO MARIA SUSANA AUXILIADORA")</f>
        <v>ALAVA CEDEÑO MARIA SUSANA AUXILIADORA</v>
      </c>
      <c r="C8" s="2" t="str">
        <f>IFERROR(__xludf.DUMMYFUNCTION("""COMPUTED_VALUE"""),"CONSULTORIO MÉDICO")</f>
        <v>CONSULTORIO MÉDICO</v>
      </c>
      <c r="D8" s="2" t="str">
        <f>IFERROR(__xludf.DUMMYFUNCTION("""COMPUTED_VALUE"""),"0993121437")</f>
        <v>0993121437</v>
      </c>
    </row>
    <row r="9">
      <c r="A9" s="2" t="str">
        <f>IFERROR(__xludf.DUMMYFUNCTION("""COMPUTED_VALUE"""),"1314073147001")</f>
        <v>1314073147001</v>
      </c>
      <c r="B9" s="2" t="str">
        <f>IFERROR(__xludf.DUMMYFUNCTION("""COMPUTED_VALUE"""),"ALAVA DIAZ JOSE DANIEL")</f>
        <v>ALAVA DIAZ JOSE DANIEL</v>
      </c>
      <c r="C9" s="2" t="str">
        <f>IFERROR(__xludf.DUMMYFUNCTION("""COMPUTED_VALUE"""),"CENTRO DE ESPECIALIDADES MÉDICAS SANTA INÉS")</f>
        <v>CENTRO DE ESPECIALIDADES MÉDICAS SANTA INÉS</v>
      </c>
      <c r="D9" s="2" t="str">
        <f>IFERROR(__xludf.DUMMYFUNCTION("""COMPUTED_VALUE"""),"0991429220")</f>
        <v>0991429220</v>
      </c>
    </row>
    <row r="10">
      <c r="A10" s="2" t="str">
        <f>IFERROR(__xludf.DUMMYFUNCTION("""COMPUTED_VALUE"""),"1310526577001")</f>
        <v>1310526577001</v>
      </c>
      <c r="B10" s="2" t="str">
        <f>IFERROR(__xludf.DUMMYFUNCTION("""COMPUTED_VALUE"""),"ALAVA FORTI ANGELA MELISSA")</f>
        <v>ALAVA FORTI ANGELA MELISSA</v>
      </c>
      <c r="C10" s="2" t="str">
        <f>IFERROR(__xludf.DUMMYFUNCTION("""COMPUTED_VALUE"""),"CONSULTORIO DENTAL ODONTOLOGY")</f>
        <v>CONSULTORIO DENTAL ODONTOLOGY</v>
      </c>
      <c r="D10" s="2" t="str">
        <f>IFERROR(__xludf.DUMMYFUNCTION("""COMPUTED_VALUE"""),"0939281266")</f>
        <v>0939281266</v>
      </c>
    </row>
    <row r="11">
      <c r="A11" s="2" t="str">
        <f>IFERROR(__xludf.DUMMYFUNCTION("""COMPUTED_VALUE"""),"1311971020001")</f>
        <v>1311971020001</v>
      </c>
      <c r="B11" s="2" t="str">
        <f>IFERROR(__xludf.DUMMYFUNCTION("""COMPUTED_VALUE"""),"ALAVA RAMOS NANCY HERLINDA")</f>
        <v>ALAVA RAMOS NANCY HERLINDA</v>
      </c>
      <c r="C11" s="2" t="str">
        <f>IFERROR(__xludf.DUMMYFUNCTION("""COMPUTED_VALUE"""),"NANCY ALAVA CONSULTORIO ODONTOLÓGICO")</f>
        <v>NANCY ALAVA CONSULTORIO ODONTOLÓGICO</v>
      </c>
      <c r="D11" s="2" t="str">
        <f>IFERROR(__xludf.DUMMYFUNCTION("""COMPUTED_VALUE"""),"0986645301")</f>
        <v>0986645301</v>
      </c>
    </row>
    <row r="12">
      <c r="A12" s="2" t="str">
        <f>IFERROR(__xludf.DUMMYFUNCTION("""COMPUTED_VALUE"""),"1313725374001")</f>
        <v>1313725374001</v>
      </c>
      <c r="B12" s="2" t="str">
        <f>IFERROR(__xludf.DUMMYFUNCTION("""COMPUTED_VALUE"""),"ALAVA SANTANA CARLINA RUBI")</f>
        <v>ALAVA SANTANA CARLINA RUBI</v>
      </c>
      <c r="C12" s="2" t="str">
        <f>IFERROR(__xludf.DUMMYFUNCTION("""COMPUTED_VALUE"""),"CONSULTORIO ODONTOLOGICO INTEGRAL CARLINA ALAVA")</f>
        <v>CONSULTORIO ODONTOLOGICO INTEGRAL CARLINA ALAVA</v>
      </c>
      <c r="D12" s="2" t="str">
        <f>IFERROR(__xludf.DUMMYFUNCTION("""COMPUTED_VALUE"""),"0939983113")</f>
        <v>0939983113</v>
      </c>
    </row>
    <row r="13">
      <c r="A13" s="2" t="str">
        <f>IFERROR(__xludf.DUMMYFUNCTION("""COMPUTED_VALUE"""),"1391867166001")</f>
        <v>1391867166001</v>
      </c>
      <c r="B13" s="2" t="str">
        <f>IFERROR(__xludf.DUMMYFUNCTION("""COMPUTED_VALUE"""),"ALAVACABRERA S.A.")</f>
        <v>ALAVACABRERA S.A.</v>
      </c>
      <c r="C13" s="2" t="str">
        <f>IFERROR(__xludf.DUMMYFUNCTION("""COMPUTED_VALUE"""),"SALUD AMIGA")</f>
        <v>SALUD AMIGA</v>
      </c>
      <c r="D13" s="2" t="str">
        <f>IFERROR(__xludf.DUMMYFUNCTION("""COMPUTED_VALUE"""),"0999187572")</f>
        <v>0999187572</v>
      </c>
    </row>
    <row r="14">
      <c r="A14" s="2" t="str">
        <f>IFERROR(__xludf.DUMMYFUNCTION("""COMPUTED_VALUE"""),"02300630916001")</f>
        <v>02300630916001</v>
      </c>
      <c r="B14" s="2" t="str">
        <f>IFERROR(__xludf.DUMMYFUNCTION("""COMPUTED_VALUE"""),"ALCIVAR MOREIRA MILENY YULEXI")</f>
        <v>ALCIVAR MOREIRA MILENY YULEXI</v>
      </c>
      <c r="C14" s="2" t="str">
        <f>IFERROR(__xludf.DUMMYFUNCTION("""COMPUTED_VALUE"""),"CONSULTORIO DENTAL CY")</f>
        <v>CONSULTORIO DENTAL CY</v>
      </c>
      <c r="D14" s="2" t="str">
        <f>IFERROR(__xludf.DUMMYFUNCTION("""COMPUTED_VALUE"""),"0983695227")</f>
        <v>0983695227</v>
      </c>
    </row>
    <row r="15">
      <c r="A15" s="2" t="str">
        <f>IFERROR(__xludf.DUMMYFUNCTION("""COMPUTED_VALUE"""),"1308347606001")</f>
        <v>1308347606001</v>
      </c>
      <c r="B15" s="2" t="str">
        <f>IFERROR(__xludf.DUMMYFUNCTION("""COMPUTED_VALUE"""),"ALMEIDA BARREIRO IRINA PATRICIA")</f>
        <v>ALMEIDA BARREIRO IRINA PATRICIA</v>
      </c>
      <c r="C15" s="2" t="str">
        <f>IFERROR(__xludf.DUMMYFUNCTION("""COMPUTED_VALUE"""),"CONSULTORIO MEDICO ESPECIALIZADO")</f>
        <v>CONSULTORIO MEDICO ESPECIALIZADO</v>
      </c>
      <c r="D15" s="2" t="str">
        <f>IFERROR(__xludf.DUMMYFUNCTION("""COMPUTED_VALUE"""),"0993168366")</f>
        <v>0993168366</v>
      </c>
    </row>
    <row r="16">
      <c r="A16" s="2" t="str">
        <f>IFERROR(__xludf.DUMMYFUNCTION("""COMPUTED_VALUE"""),"1308288461001")</f>
        <v>1308288461001</v>
      </c>
      <c r="B16" s="2" t="str">
        <f>IFERROR(__xludf.DUMMYFUNCTION("""COMPUTED_VALUE"""),"ALVARADO FARFAN FARATH PIERINA")</f>
        <v>ALVARADO FARFAN FARATH PIERINA</v>
      </c>
      <c r="C16" s="2" t="str">
        <f>IFERROR(__xludf.DUMMYFUNCTION("""COMPUTED_VALUE"""),"PAF DENT")</f>
        <v>PAF DENT</v>
      </c>
      <c r="D16" s="2" t="str">
        <f>IFERROR(__xludf.DUMMYFUNCTION("""COMPUTED_VALUE"""),"0996722963")</f>
        <v>0996722963</v>
      </c>
    </row>
    <row r="17">
      <c r="A17" s="2" t="str">
        <f>IFERROR(__xludf.DUMMYFUNCTION("""COMPUTED_VALUE"""),"0911046886001")</f>
        <v>0911046886001</v>
      </c>
      <c r="B17" s="2" t="str">
        <f>IFERROR(__xludf.DUMMYFUNCTION("""COMPUTED_VALUE"""),"ALVARADO JAIME FELIX EDUARDO")</f>
        <v>ALVARADO JAIME FELIX EDUARDO</v>
      </c>
      <c r="C17" s="2" t="str">
        <f>IFERROR(__xludf.DUMMYFUNCTION("""COMPUTED_VALUE"""),"CONSULTORIO DR FÉLIX ALVARADO JAIME GINECOOBSTETRA")</f>
        <v>CONSULTORIO DR FÉLIX ALVARADO JAIME GINECOOBSTETRA</v>
      </c>
      <c r="D17" s="2" t="str">
        <f>IFERROR(__xludf.DUMMYFUNCTION("""COMPUTED_VALUE"""),"0991899470")</f>
        <v>0991899470</v>
      </c>
    </row>
    <row r="18">
      <c r="A18" s="2" t="str">
        <f>IFERROR(__xludf.DUMMYFUNCTION("""COMPUTED_VALUE"""),"1303136681001")</f>
        <v>1303136681001</v>
      </c>
      <c r="B18" s="2" t="str">
        <f>IFERROR(__xludf.DUMMYFUNCTION("""COMPUTED_VALUE"""),"ALVARADO MENDOZA JEINER VICENTE")</f>
        <v>ALVARADO MENDOZA JEINER VICENTE</v>
      </c>
      <c r="C18" s="2" t="str">
        <f>IFERROR(__xludf.DUMMYFUNCTION("""COMPUTED_VALUE"""),"CENTRO DE ESPACIALIDADES ALCED  ")</f>
        <v>CENTRO DE ESPACIALIDADES ALCED  </v>
      </c>
      <c r="D18" s="2" t="str">
        <f>IFERROR(__xludf.DUMMYFUNCTION("""COMPUTED_VALUE"""),"0986429284")</f>
        <v>0986429284</v>
      </c>
    </row>
    <row r="19">
      <c r="A19" s="2" t="str">
        <f>IFERROR(__xludf.DUMMYFUNCTION("""COMPUTED_VALUE"""),"1309108114001")</f>
        <v>1309108114001</v>
      </c>
      <c r="B19" s="2" t="str">
        <f>IFERROR(__xludf.DUMMYFUNCTION("""COMPUTED_VALUE"""),"ALVARADO PINO LUIS EDUARDO")</f>
        <v>ALVARADO PINO LUIS EDUARDO</v>
      </c>
      <c r="C19" s="2" t="str">
        <f>IFERROR(__xludf.DUMMYFUNCTION("""COMPUTED_VALUE"""),"ALVARADO PINO LUIS EDUARDO")</f>
        <v>ALVARADO PINO LUIS EDUARDO</v>
      </c>
      <c r="D19" s="2" t="str">
        <f>IFERROR(__xludf.DUMMYFUNCTION("""COMPUTED_VALUE"""),"0985747443")</f>
        <v>0985747443</v>
      </c>
    </row>
    <row r="20">
      <c r="A20" s="2" t="str">
        <f>IFERROR(__xludf.DUMMYFUNCTION("""COMPUTED_VALUE"""),"0962077350001")</f>
        <v>0962077350001</v>
      </c>
      <c r="B20" s="2" t="str">
        <f>IFERROR(__xludf.DUMMYFUNCTION("""COMPUTED_VALUE"""),"ALVAREZ SILVA ARVIS ARTURO")</f>
        <v>ALVAREZ SILVA ARVIS ARTURO</v>
      </c>
      <c r="C20" s="2" t="str">
        <f>IFERROR(__xludf.DUMMYFUNCTION("""COMPUTED_VALUE"""),"CENTRO GINECOLOGICO DR. ARVIS ALVAREZ ")</f>
        <v>CENTRO GINECOLOGICO DR. ARVIS ALVAREZ </v>
      </c>
      <c r="D20" s="2" t="str">
        <f>IFERROR(__xludf.DUMMYFUNCTION("""COMPUTED_VALUE"""),"0968077550")</f>
        <v>0968077550</v>
      </c>
    </row>
    <row r="21">
      <c r="A21" s="2" t="str">
        <f>IFERROR(__xludf.DUMMYFUNCTION("""COMPUTED_VALUE"""),"0911264711001")</f>
        <v>0911264711001</v>
      </c>
      <c r="B21" s="2" t="str">
        <f>IFERROR(__xludf.DUMMYFUNCTION("""COMPUTED_VALUE"""),"AMBROSI RIVERA JIMMY FERNANDO")</f>
        <v>AMBROSI RIVERA JIMMY FERNANDO</v>
      </c>
      <c r="C21" s="2" t="str">
        <f>IFERROR(__xludf.DUMMYFUNCTION("""COMPUTED_VALUE"""),"LAS VEGAS TATTOO")</f>
        <v>LAS VEGAS TATTOO</v>
      </c>
      <c r="D21" s="2" t="str">
        <f>IFERROR(__xludf.DUMMYFUNCTION("""COMPUTED_VALUE"""),"0961616634")</f>
        <v>0961616634</v>
      </c>
    </row>
    <row r="22">
      <c r="A22" s="2" t="str">
        <f>IFERROR(__xludf.DUMMYFUNCTION("""COMPUTED_VALUE"""),"1391924380001")</f>
        <v>1391924380001</v>
      </c>
      <c r="B22" s="2" t="str">
        <f>IFERROR(__xludf.DUMMYFUNCTION("""COMPUTED_VALUE"""),"AMELSAM MEDIC SA DE BENEFICIOS E INTERES COLECTIVO")</f>
        <v>AMELSAM MEDIC SA DE BENEFICIOS E INTERES COLECTIVO</v>
      </c>
      <c r="C22" s="2" t="str">
        <f>IFERROR(__xludf.DUMMYFUNCTION("""COMPUTED_VALUE"""),"AMELSAM MEDIC")</f>
        <v>AMELSAM MEDIC</v>
      </c>
      <c r="D22" s="2" t="str">
        <f>IFERROR(__xludf.DUMMYFUNCTION("""COMPUTED_VALUE"""),"0988545142")</f>
        <v>0988545142</v>
      </c>
    </row>
    <row r="23">
      <c r="A23" s="2" t="str">
        <f>IFERROR(__xludf.DUMMYFUNCTION("""COMPUTED_VALUE"""),"1303093502001")</f>
        <v>1303093502001</v>
      </c>
      <c r="B23" s="2" t="str">
        <f>IFERROR(__xludf.DUMMYFUNCTION("""COMPUTED_VALUE"""),"ANCHUNDIA MUENTES HIPATIA MARIA DE LAS MERCEDES")</f>
        <v>ANCHUNDIA MUENTES HIPATIA MARIA DE LAS MERCEDES</v>
      </c>
      <c r="C23" s="2" t="str">
        <f>IFERROR(__xludf.DUMMYFUNCTION("""COMPUTED_VALUE"""),"ODONTOLOGA DRA HIPATIA ANCHUNDIA MUENTES")</f>
        <v>ODONTOLOGA DRA HIPATIA ANCHUNDIA MUENTES</v>
      </c>
      <c r="D23" s="2" t="str">
        <f>IFERROR(__xludf.DUMMYFUNCTION("""COMPUTED_VALUE"""),"0992157250")</f>
        <v>0992157250</v>
      </c>
    </row>
    <row r="24">
      <c r="A24" s="2" t="str">
        <f>IFERROR(__xludf.DUMMYFUNCTION("""COMPUTED_VALUE"""),"1350734776001")</f>
        <v>1350734776001</v>
      </c>
      <c r="B24" s="2" t="str">
        <f>IFERROR(__xludf.DUMMYFUNCTION("""COMPUTED_VALUE"""),"ANDRADE VERA ALEXIA NICOLE")</f>
        <v>ANDRADE VERA ALEXIA NICOLE</v>
      </c>
      <c r="C24" s="2" t="str">
        <f>IFERROR(__xludf.DUMMYFUNCTION("""COMPUTED_VALUE"""),"NICOLE ANDRADE ODONTOLOGIA INTEGRAL")</f>
        <v>NICOLE ANDRADE ODONTOLOGIA INTEGRAL</v>
      </c>
      <c r="D24" s="2" t="str">
        <f>IFERROR(__xludf.DUMMYFUNCTION("""COMPUTED_VALUE"""),"0992611052")</f>
        <v>0992611052</v>
      </c>
    </row>
    <row r="25">
      <c r="A25" s="2" t="str">
        <f>IFERROR(__xludf.DUMMYFUNCTION("""COMPUTED_VALUE"""),"1391880073001")</f>
        <v>1391880073001</v>
      </c>
      <c r="B25" s="2" t="str">
        <f>IFERROR(__xludf.DUMMYFUNCTION("""COMPUTED_VALUE"""),"ANGIOCOSTA CIA.LTDA.")</f>
        <v>ANGIOCOSTA CIA.LTDA.</v>
      </c>
      <c r="C25" s="2" t="str">
        <f>IFERROR(__xludf.DUMMYFUNCTION("""COMPUTED_VALUE"""),"CONSULTORIO MEDICO")</f>
        <v>CONSULTORIO MEDICO</v>
      </c>
      <c r="D25" s="2" t="str">
        <f>IFERROR(__xludf.DUMMYFUNCTION("""COMPUTED_VALUE"""),"0998769513")</f>
        <v>0998769513</v>
      </c>
    </row>
    <row r="26">
      <c r="A26" s="2" t="str">
        <f>IFERROR(__xludf.DUMMYFUNCTION("""COMPUTED_VALUE"""),"1305248286001")</f>
        <v>1305248286001</v>
      </c>
      <c r="B26" s="2" t="str">
        <f>IFERROR(__xludf.DUMMYFUNCTION("""COMPUTED_VALUE"""),"ARANGO OCHOA ANNY AMPARO")</f>
        <v>ARANGO OCHOA ANNY AMPARO</v>
      </c>
      <c r="C26" s="2" t="str">
        <f>IFERROR(__xludf.DUMMYFUNCTION("""COMPUTED_VALUE"""),"CONSULTORIO GENERAL DE NUTRICIÓN Y DIETÉTICA TORRE SAN ANTONIO")</f>
        <v>CONSULTORIO GENERAL DE NUTRICIÓN Y DIETÉTICA TORRE SAN ANTONIO</v>
      </c>
      <c r="D26" s="2" t="str">
        <f>IFERROR(__xludf.DUMMYFUNCTION("""COMPUTED_VALUE"""),"0984791428")</f>
        <v>0984791428</v>
      </c>
    </row>
    <row r="27">
      <c r="A27" s="2" t="str">
        <f>IFERROR(__xludf.DUMMYFUNCTION("""COMPUTED_VALUE"""),"1758035933001")</f>
        <v>1758035933001</v>
      </c>
      <c r="B27" s="2" t="str">
        <f>IFERROR(__xludf.DUMMYFUNCTION("""COMPUTED_VALUE"""),"ARIAS MARIN CARLOS EDUARDO")</f>
        <v>ARIAS MARIN CARLOS EDUARDO</v>
      </c>
      <c r="C27" s="2" t="str">
        <f>IFERROR(__xludf.DUMMYFUNCTION("""COMPUTED_VALUE"""),"CENTRO VETERINARIO PACIFIC PETS CARE")</f>
        <v>CENTRO VETERINARIO PACIFIC PETS CARE</v>
      </c>
      <c r="D27" s="2" t="str">
        <f>IFERROR(__xludf.DUMMYFUNCTION("""COMPUTED_VALUE"""),"0997993408")</f>
        <v>0997993408</v>
      </c>
    </row>
    <row r="28">
      <c r="A28" s="2" t="str">
        <f>IFERROR(__xludf.DUMMYFUNCTION("""COMPUTED_VALUE"""),"1310938160001")</f>
        <v>1310938160001</v>
      </c>
      <c r="B28" s="2" t="str">
        <f>IFERROR(__xludf.DUMMYFUNCTION("""COMPUTED_VALUE"""),"ARIAS MONTANERO ANA CAROLINA")</f>
        <v>ARIAS MONTANERO ANA CAROLINA</v>
      </c>
      <c r="C28" s="2" t="str">
        <f>IFERROR(__xludf.DUMMYFUNCTION("""COMPUTED_VALUE"""),"OD CAROLINA ARIAS")</f>
        <v>OD CAROLINA ARIAS</v>
      </c>
      <c r="D28" s="2" t="str">
        <f>IFERROR(__xludf.DUMMYFUNCTION("""COMPUTED_VALUE"""),"0983877067")</f>
        <v>0983877067</v>
      </c>
    </row>
    <row r="29">
      <c r="A29" s="2" t="str">
        <f>IFERROR(__xludf.DUMMYFUNCTION("""COMPUTED_VALUE"""),"1101450904001")</f>
        <v>1101450904001</v>
      </c>
      <c r="B29" s="2" t="str">
        <f>IFERROR(__xludf.DUMMYFUNCTION("""COMPUTED_VALUE"""),"ARMIJOS LUNA RUTH CECILIA")</f>
        <v>ARMIJOS LUNA RUTH CECILIA</v>
      </c>
      <c r="C29" s="2" t="str">
        <f>IFERROR(__xludf.DUMMYFUNCTION("""COMPUTED_VALUE"""),"ONCOMEDIC")</f>
        <v>ONCOMEDIC</v>
      </c>
      <c r="D29" s="2" t="str">
        <f>IFERROR(__xludf.DUMMYFUNCTION("""COMPUTED_VALUE"""),"0984936626")</f>
        <v>0984936626</v>
      </c>
    </row>
    <row r="30">
      <c r="A30" s="2" t="str">
        <f>IFERROR(__xludf.DUMMYFUNCTION("""COMPUTED_VALUE"""),"1310011992001")</f>
        <v>1310011992001</v>
      </c>
      <c r="B30" s="2" t="str">
        <f>IFERROR(__xludf.DUMMYFUNCTION("""COMPUTED_VALUE"""),"ARTEAGA MOREIRA CECILIA LEANDRI")</f>
        <v>ARTEAGA MOREIRA CECILIA LEANDRI</v>
      </c>
      <c r="C30" s="2" t="str">
        <f>IFERROR(__xludf.DUMMYFUNCTION("""COMPUTED_VALUE"""),"CENTRO RADIOLOGICO CRISTO REY - ( C.M.ZAMART)")</f>
        <v>CENTRO RADIOLOGICO CRISTO REY - ( C.M.ZAMART)</v>
      </c>
      <c r="D30" s="2" t="str">
        <f>IFERROR(__xludf.DUMMYFUNCTION("""COMPUTED_VALUE"""),"0997389940")</f>
        <v>0997389940</v>
      </c>
    </row>
    <row r="31">
      <c r="A31" s="2" t="str">
        <f>IFERROR(__xludf.DUMMYFUNCTION("""COMPUTED_VALUE"""),"1310936677001")</f>
        <v>1310936677001</v>
      </c>
      <c r="B31" s="2" t="str">
        <f>IFERROR(__xludf.DUMMYFUNCTION("""COMPUTED_VALUE"""),"ARTEAGA PATIÑO LUIGI MARCELO")</f>
        <v>ARTEAGA PATIÑO LUIGI MARCELO</v>
      </c>
      <c r="C31" s="2" t="str">
        <f>IFERROR(__xludf.DUMMYFUNCTION("""COMPUTED_VALUE"""),"DR LUIGI ARTEAGA MÉDICO GERIATRA")</f>
        <v>DR LUIGI ARTEAGA MÉDICO GERIATRA</v>
      </c>
      <c r="D31" s="2" t="str">
        <f>IFERROR(__xludf.DUMMYFUNCTION("""COMPUTED_VALUE"""),"0988476693")</f>
        <v>0988476693</v>
      </c>
    </row>
    <row r="32">
      <c r="A32" s="2" t="str">
        <f>IFERROR(__xludf.DUMMYFUNCTION("""COMPUTED_VALUE"""),"1315711844001")</f>
        <v>1315711844001</v>
      </c>
      <c r="B32" s="2" t="str">
        <f>IFERROR(__xludf.DUMMYFUNCTION("""COMPUTED_VALUE"""),"ARTEAGA PONCE DAYANA PAOLA")</f>
        <v>ARTEAGA PONCE DAYANA PAOLA</v>
      </c>
      <c r="C32" s="2" t="str">
        <f>IFERROR(__xludf.DUMMYFUNCTION("""COMPUTED_VALUE"""),"CENTRO ODONTOLOGICO ARTDENT")</f>
        <v>CENTRO ODONTOLOGICO ARTDENT</v>
      </c>
      <c r="D32" s="2" t="str">
        <f>IFERROR(__xludf.DUMMYFUNCTION("""COMPUTED_VALUE"""),"0986784471")</f>
        <v>0986784471</v>
      </c>
    </row>
    <row r="33">
      <c r="A33" s="2" t="str">
        <f>IFERROR(__xludf.DUMMYFUNCTION("""COMPUTED_VALUE"""),"1314674456001")</f>
        <v>1314674456001</v>
      </c>
      <c r="B33" s="2" t="str">
        <f>IFERROR(__xludf.DUMMYFUNCTION("""COMPUTED_VALUE"""),"ASANZA HERNANDEZ JULIO ENRIQUE")</f>
        <v>ASANZA HERNANDEZ JULIO ENRIQUE</v>
      </c>
      <c r="C33" s="2" t="str">
        <f>IFERROR(__xludf.DUMMYFUNCTION("""COMPUTED_VALUE"""),"ASANZA HERNANDEZ JULIO ENRIQUE")</f>
        <v>ASANZA HERNANDEZ JULIO ENRIQUE</v>
      </c>
      <c r="D33" s="2" t="str">
        <f>IFERROR(__xludf.DUMMYFUNCTION("""COMPUTED_VALUE"""),"0968294049")</f>
        <v>0968294049</v>
      </c>
    </row>
    <row r="34">
      <c r="A34" s="2" t="str">
        <f>IFERROR(__xludf.DUMMYFUNCTION("""COMPUTED_VALUE"""),"1391721447001")</f>
        <v>1391721447001</v>
      </c>
      <c r="B34" s="2" t="str">
        <f>IFERROR(__xludf.DUMMYFUNCTION("""COMPUTED_VALUE"""),"ASOCIACION MEDICA RENAL PORTOVIEJO ASMERP S.A.")</f>
        <v>ASOCIACION MEDICA RENAL PORTOVIEJO ASMERP S.A.</v>
      </c>
      <c r="C34" s="2" t="str">
        <f>IFERROR(__xludf.DUMMYFUNCTION("""COMPUTED_VALUE"""),"METRODIAL")</f>
        <v>METRODIAL</v>
      </c>
      <c r="D34" s="2" t="str">
        <f>IFERROR(__xludf.DUMMYFUNCTION("""COMPUTED_VALUE"""),"0992748861")</f>
        <v>0992748861</v>
      </c>
    </row>
    <row r="35">
      <c r="A35" s="2" t="str">
        <f>IFERROR(__xludf.DUMMYFUNCTION("""COMPUTED_VALUE"""),"1314951003001")</f>
        <v>1314951003001</v>
      </c>
      <c r="B35" s="2" t="str">
        <f>IFERROR(__xludf.DUMMYFUNCTION("""COMPUTED_VALUE"""),"BAEZ QUELAL SHEYLA JOHANNA")</f>
        <v>BAEZ QUELAL SHEYLA JOHANNA</v>
      </c>
      <c r="C35" s="2" t="str">
        <f>IFERROR(__xludf.DUMMYFUNCTION("""COMPUTED_VALUE"""),"CONSULTORIO DENTAL SHEYLA BAEZ")</f>
        <v>CONSULTORIO DENTAL SHEYLA BAEZ</v>
      </c>
      <c r="D35" s="2" t="str">
        <f>IFERROR(__xludf.DUMMYFUNCTION("""COMPUTED_VALUE"""),"0984108481")</f>
        <v>0984108481</v>
      </c>
    </row>
    <row r="36">
      <c r="A36" s="2" t="str">
        <f>IFERROR(__xludf.DUMMYFUNCTION("""COMPUTED_VALUE"""),"1723134431001")</f>
        <v>1723134431001</v>
      </c>
      <c r="B36" s="2" t="str">
        <f>IFERROR(__xludf.DUMMYFUNCTION("""COMPUTED_VALUE"""),"BAILON CEDEÑO VIVIANA MERCEDES")</f>
        <v>BAILON CEDEÑO VIVIANA MERCEDES</v>
      </c>
      <c r="C36" s="2" t="str">
        <f>IFERROR(__xludf.DUMMYFUNCTION("""COMPUTED_VALUE"""),"CONSULTORIO MEDICO SAMARITANS MEDIC")</f>
        <v>CONSULTORIO MEDICO SAMARITANS MEDIC</v>
      </c>
      <c r="D36" s="2" t="str">
        <f>IFERROR(__xludf.DUMMYFUNCTION("""COMPUTED_VALUE"""),"0939477804")</f>
        <v>0939477804</v>
      </c>
    </row>
    <row r="37">
      <c r="A37" s="2" t="str">
        <f>IFERROR(__xludf.DUMMYFUNCTION("""COMPUTED_VALUE"""),"1313695551001")</f>
        <v>1313695551001</v>
      </c>
      <c r="B37" s="2" t="str">
        <f>IFERROR(__xludf.DUMMYFUNCTION("""COMPUTED_VALUE"""),"BAQUE VILLAFUERTE EDGAR IVAN")</f>
        <v>BAQUE VILLAFUERTE EDGAR IVAN</v>
      </c>
      <c r="C37" s="2" t="str">
        <f>IFERROR(__xludf.DUMMYFUNCTION("""COMPUTED_VALUE"""),"LABORATORIO LAB XPRESS")</f>
        <v>LABORATORIO LAB XPRESS</v>
      </c>
      <c r="D37" s="2" t="str">
        <f>IFERROR(__xludf.DUMMYFUNCTION("""COMPUTED_VALUE"""),"0962936716")</f>
        <v>0962936716</v>
      </c>
    </row>
    <row r="38">
      <c r="A38" s="2" t="str">
        <f>IFERROR(__xludf.DUMMYFUNCTION("""COMPUTED_VALUE"""),"1312746355001")</f>
        <v>1312746355001</v>
      </c>
      <c r="B38" s="2" t="str">
        <f>IFERROR(__xludf.DUMMYFUNCTION("""COMPUTED_VALUE"""),"BARCIA BASURTO JUAN JOSE")</f>
        <v>BARCIA BASURTO JUAN JOSE</v>
      </c>
      <c r="C38" s="2" t="str">
        <f>IFERROR(__xludf.DUMMYFUNCTION("""COMPUTED_VALUE"""),"CONSULTORIO DENTALPRO")</f>
        <v>CONSULTORIO DENTALPRO</v>
      </c>
      <c r="D38" s="2" t="str">
        <f>IFERROR(__xludf.DUMMYFUNCTION("""COMPUTED_VALUE"""),"0999053545")</f>
        <v>0999053545</v>
      </c>
    </row>
    <row r="39">
      <c r="A39" s="2" t="str">
        <f>IFERROR(__xludf.DUMMYFUNCTION("""COMPUTED_VALUE"""),"1308678299001")</f>
        <v>1308678299001</v>
      </c>
      <c r="B39" s="2" t="str">
        <f>IFERROR(__xludf.DUMMYFUNCTION("""COMPUTED_VALUE"""),"BARCIA MIRANDA JOSE EDUARDO")</f>
        <v>BARCIA MIRANDA JOSE EDUARDO</v>
      </c>
      <c r="C39" s="2" t="str">
        <f>IFERROR(__xludf.DUMMYFUNCTION("""COMPUTED_VALUE"""),"CONSULTORIO DENTAL ODONTOFAMILY")</f>
        <v>CONSULTORIO DENTAL ODONTOFAMILY</v>
      </c>
      <c r="D39" s="2" t="str">
        <f>IFERROR(__xludf.DUMMYFUNCTION("""COMPUTED_VALUE"""),"0998419924")</f>
        <v>0998419924</v>
      </c>
    </row>
    <row r="40">
      <c r="A40" s="2" t="str">
        <f>IFERROR(__xludf.DUMMYFUNCTION("""COMPUTED_VALUE"""),"1308148749001")</f>
        <v>1308148749001</v>
      </c>
      <c r="B40" s="2" t="str">
        <f>IFERROR(__xludf.DUMMYFUNCTION("""COMPUTED_VALUE"""),"BARDELLINI MERA ALEX ALBERTO")</f>
        <v>BARDELLINI MERA ALEX ALBERTO</v>
      </c>
      <c r="C40" s="2" t="str">
        <f>IFERROR(__xludf.DUMMYFUNCTION("""COMPUTED_VALUE"""),"BARDELLINI MERA ALEX ALBERTO")</f>
        <v>BARDELLINI MERA ALEX ALBERTO</v>
      </c>
      <c r="D40" s="2" t="str">
        <f>IFERROR(__xludf.DUMMYFUNCTION("""COMPUTED_VALUE"""),"0987219013")</f>
        <v>0987219013</v>
      </c>
    </row>
    <row r="41">
      <c r="A41" s="2" t="str">
        <f>IFERROR(__xludf.DUMMYFUNCTION("""COMPUTED_VALUE"""),"1309835930001")</f>
        <v>1309835930001</v>
      </c>
      <c r="B41" s="2" t="str">
        <f>IFERROR(__xludf.DUMMYFUNCTION("""COMPUTED_VALUE"""),"BARRERA DOUMET FADIANA JAMILE")</f>
        <v>BARRERA DOUMET FADIANA JAMILE</v>
      </c>
      <c r="C41" s="2" t="str">
        <f>IFERROR(__xludf.DUMMYFUNCTION("""COMPUTED_VALUE"""),"MOTEL EROS")</f>
        <v>MOTEL EROS</v>
      </c>
      <c r="D41" s="2" t="str">
        <f>IFERROR(__xludf.DUMMYFUNCTION("""COMPUTED_VALUE"""),"0999773101")</f>
        <v>0999773101</v>
      </c>
    </row>
    <row r="42">
      <c r="A42" s="2" t="str">
        <f>IFERROR(__xludf.DUMMYFUNCTION("""COMPUTED_VALUE"""),"1307572865001")</f>
        <v>1307572865001</v>
      </c>
      <c r="B42" s="2" t="str">
        <f>IFERROR(__xludf.DUMMYFUNCTION("""COMPUTED_VALUE"""),"BARRERA NAVARRETE MARIA FERNANDA")</f>
        <v>BARRERA NAVARRETE MARIA FERNANDA</v>
      </c>
      <c r="C42" s="2" t="str">
        <f>IFERROR(__xludf.DUMMYFUNCTION("""COMPUTED_VALUE"""),"MOTEL EROS")</f>
        <v>MOTEL EROS</v>
      </c>
      <c r="D42" s="2" t="str">
        <f>IFERROR(__xludf.DUMMYFUNCTION("""COMPUTED_VALUE"""),"0959526428")</f>
        <v>0959526428</v>
      </c>
    </row>
    <row r="43">
      <c r="A43" s="2" t="str">
        <f>IFERROR(__xludf.DUMMYFUNCTION("""COMPUTED_VALUE"""),"1307555126001")</f>
        <v>1307555126001</v>
      </c>
      <c r="B43" s="2" t="str">
        <f>IFERROR(__xludf.DUMMYFUNCTION("""COMPUTED_VALUE"""),"BAZURTO GARCIA MARJORIE ROMINA")</f>
        <v>BAZURTO GARCIA MARJORIE ROMINA</v>
      </c>
      <c r="C43" s="2" t="str">
        <f>IFERROR(__xludf.DUMMYFUNCTION("""COMPUTED_VALUE"""),"CONSULTORIO ODONTOLOGICO DRA MARJORIE BAZURTO")</f>
        <v>CONSULTORIO ODONTOLOGICO DRA MARJORIE BAZURTO</v>
      </c>
      <c r="D43" s="2" t="str">
        <f>IFERROR(__xludf.DUMMYFUNCTION("""COMPUTED_VALUE"""),"0997087403")</f>
        <v>0997087403</v>
      </c>
    </row>
    <row r="44">
      <c r="A44" s="2" t="str">
        <f>IFERROR(__xludf.DUMMYFUNCTION("""COMPUTED_VALUE"""),"1391821190001")</f>
        <v>1391821190001</v>
      </c>
      <c r="B44" s="2" t="str">
        <f>IFERROR(__xludf.DUMMYFUNCTION("""COMPUTED_VALUE"""),"BELAXA CIA. LTDA.")</f>
        <v>BELAXA CIA. LTDA.</v>
      </c>
      <c r="C44" s="2" t="str">
        <f>IFERROR(__xludf.DUMMYFUNCTION("""COMPUTED_VALUE"""),"HOSPITAL BASICO BAMBINI")</f>
        <v>HOSPITAL BASICO BAMBINI</v>
      </c>
      <c r="D44" s="2" t="str">
        <f>IFERROR(__xludf.DUMMYFUNCTION("""COMPUTED_VALUE"""),"0998615440")</f>
        <v>0998615440</v>
      </c>
    </row>
    <row r="45">
      <c r="A45" s="2" t="str">
        <f>IFERROR(__xludf.DUMMYFUNCTION("""COMPUTED_VALUE"""),"1360011160001")</f>
        <v>1360011160001</v>
      </c>
      <c r="B45" s="2" t="str">
        <f>IFERROR(__xludf.DUMMYFUNCTION("""COMPUTED_VALUE"""),"BENEMERITO CUERPO DE BOMBEROS PORTOVIEJO CORONEL JOSE ANTONIO MARIA GARCIA PINOARGOTE BCBP")</f>
        <v>BENEMERITO CUERPO DE BOMBEROS PORTOVIEJO CORONEL JOSE ANTONIO MARIA GARCIA PINOARGOTE BCBP</v>
      </c>
      <c r="C45" s="2" t="str">
        <f>IFERROR(__xludf.DUMMYFUNCTION("""COMPUTED_VALUE"""),"BENEMERITO CUERPO DE BOMBEROS PORTOVIEJO CORONEL JOSE ANTONIO MARIA GARCIA PINOARGOTE BCBP")</f>
        <v>BENEMERITO CUERPO DE BOMBEROS PORTOVIEJO CORONEL JOSE ANTONIO MARIA GARCIA PINOARGOTE BCBP</v>
      </c>
      <c r="D45" s="2" t="str">
        <f>IFERROR(__xludf.DUMMYFUNCTION("""COMPUTED_VALUE"""),"0960176367")</f>
        <v>0960176367</v>
      </c>
    </row>
    <row r="46">
      <c r="A46" s="2" t="str">
        <f>IFERROR(__xludf.DUMMYFUNCTION("""COMPUTED_VALUE"""),"1312298340001")</f>
        <v>1312298340001</v>
      </c>
      <c r="B46" s="2" t="str">
        <f>IFERROR(__xludf.DUMMYFUNCTION("""COMPUTED_VALUE"""),"BERMELLO MOREIRA KAREN MADELAYNE")</f>
        <v>BERMELLO MOREIRA KAREN MADELAYNE</v>
      </c>
      <c r="C46" s="2" t="str">
        <f>IFERROR(__xludf.DUMMYFUNCTION("""COMPUTED_VALUE"""),"BENEFICDENTAL")</f>
        <v>BENEFICDENTAL</v>
      </c>
      <c r="D46" s="2" t="str">
        <f>IFERROR(__xludf.DUMMYFUNCTION("""COMPUTED_VALUE"""),"0981058042")</f>
        <v>0981058042</v>
      </c>
    </row>
    <row r="47">
      <c r="A47" s="2" t="str">
        <f>IFERROR(__xludf.DUMMYFUNCTION("""COMPUTED_VALUE"""),"1312705419001")</f>
        <v>1312705419001</v>
      </c>
      <c r="B47" s="2" t="str">
        <f>IFERROR(__xludf.DUMMYFUNCTION("""COMPUTED_VALUE"""),"BERMELLO VELASQUEZ CARLOS KENDRU")</f>
        <v>BERMELLO VELASQUEZ CARLOS KENDRU</v>
      </c>
      <c r="C47" s="2" t="str">
        <f>IFERROR(__xludf.DUMMYFUNCTION("""COMPUTED_VALUE"""),"TATUAJES INK ESTATION")</f>
        <v>TATUAJES INK ESTATION</v>
      </c>
      <c r="D47" s="2" t="str">
        <f>IFERROR(__xludf.DUMMYFUNCTION("""COMPUTED_VALUE"""),"0963142305")</f>
        <v>0963142305</v>
      </c>
    </row>
    <row r="48">
      <c r="A48" s="2" t="str">
        <f>IFERROR(__xludf.DUMMYFUNCTION("""COMPUTED_VALUE"""),"1312796939001")</f>
        <v>1312796939001</v>
      </c>
      <c r="B48" s="2" t="str">
        <f>IFERROR(__xludf.DUMMYFUNCTION("""COMPUTED_VALUE"""),"BERNAL REYNA KARLA LICETH")</f>
        <v>BERNAL REYNA KARLA LICETH</v>
      </c>
      <c r="C48" s="2" t="str">
        <f>IFERROR(__xludf.DUMMYFUNCTION("""COMPUTED_VALUE"""),"KARLY SPA")</f>
        <v>KARLY SPA</v>
      </c>
      <c r="D48" s="2" t="str">
        <f>IFERROR(__xludf.DUMMYFUNCTION("""COMPUTED_VALUE"""),"0959968224")</f>
        <v>0959968224</v>
      </c>
    </row>
    <row r="49">
      <c r="A49" s="2" t="str">
        <f>IFERROR(__xludf.DUMMYFUNCTION("""COMPUTED_VALUE"""),"1310292519001")</f>
        <v>1310292519001</v>
      </c>
      <c r="B49" s="2" t="str">
        <f>IFERROR(__xludf.DUMMYFUNCTION("""COMPUTED_VALUE"""),"BORJA ZAMBRANO JASMIN BEATRIZ")</f>
        <v>BORJA ZAMBRANO JASMIN BEATRIZ</v>
      </c>
      <c r="C49" s="2" t="str">
        <f>IFERROR(__xludf.DUMMYFUNCTION("""COMPUTED_VALUE"""),"CENTRO DE RADIOGRAFIAS DENTALES")</f>
        <v>CENTRO DE RADIOGRAFIAS DENTALES</v>
      </c>
      <c r="D49" s="2" t="str">
        <f>IFERROR(__xludf.DUMMYFUNCTION("""COMPUTED_VALUE"""),"0980565534")</f>
        <v>0980565534</v>
      </c>
    </row>
    <row r="50">
      <c r="A50" s="2" t="str">
        <f>IFERROR(__xludf.DUMMYFUNCTION("""COMPUTED_VALUE"""),"1721215380001")</f>
        <v>1721215380001</v>
      </c>
      <c r="B50" s="2" t="str">
        <f>IFERROR(__xludf.DUMMYFUNCTION("""COMPUTED_VALUE"""),"BRASERO ORDOÑEZ GENESIS THALIA")</f>
        <v>BRASERO ORDOÑEZ GENESIS THALIA</v>
      </c>
      <c r="C50" s="2" t="str">
        <f>IFERROR(__xludf.DUMMYFUNCTION("""COMPUTED_VALUE"""),"DENTHALIA CONSULTORIO ODONTOLOGICO")</f>
        <v>DENTHALIA CONSULTORIO ODONTOLOGICO</v>
      </c>
      <c r="D50" s="2" t="str">
        <f>IFERROR(__xludf.DUMMYFUNCTION("""COMPUTED_VALUE"""),"0982860487")</f>
        <v>0982860487</v>
      </c>
    </row>
    <row r="51">
      <c r="A51" s="2" t="str">
        <f>IFERROR(__xludf.DUMMYFUNCTION("""COMPUTED_VALUE"""),"1303981417001")</f>
        <v>1303981417001</v>
      </c>
      <c r="B51" s="2" t="str">
        <f>IFERROR(__xludf.DUMMYFUNCTION("""COMPUTED_VALUE"""),"BRAVO RODRIGUEZ DANNY PAUL")</f>
        <v>BRAVO RODRIGUEZ DANNY PAUL</v>
      </c>
      <c r="C51" s="2" t="str">
        <f>IFERROR(__xludf.DUMMYFUNCTION("""COMPUTED_VALUE"""),"LABORATORIO CLÍNICO LABORCLIN")</f>
        <v>LABORATORIO CLÍNICO LABORCLIN</v>
      </c>
      <c r="D51" s="2" t="str">
        <f>IFERROR(__xludf.DUMMYFUNCTION("""COMPUTED_VALUE"""),"0987158105")</f>
        <v>0987158105</v>
      </c>
    </row>
    <row r="52">
      <c r="A52" s="2" t="str">
        <f>IFERROR(__xludf.DUMMYFUNCTION("""COMPUTED_VALUE"""),"1304936725001")</f>
        <v>1304936725001</v>
      </c>
      <c r="B52" s="2" t="str">
        <f>IFERROR(__xludf.DUMMYFUNCTION("""COMPUTED_VALUE"""),"BRAVO VINCES GEOCONDA DOLOROSA")</f>
        <v>BRAVO VINCES GEOCONDA DOLOROSA</v>
      </c>
      <c r="C52" s="2" t="str">
        <f>IFERROR(__xludf.DUMMYFUNCTION("""COMPUTED_VALUE"""),"CONSULTORIO ODONTOLOGICO DRA BRAVO VINCES GEOCONDA")</f>
        <v>CONSULTORIO ODONTOLOGICO DRA BRAVO VINCES GEOCONDA</v>
      </c>
      <c r="D52" s="2" t="str">
        <f>IFERROR(__xludf.DUMMYFUNCTION("""COMPUTED_VALUE"""),"0997383798")</f>
        <v>0997383798</v>
      </c>
    </row>
    <row r="53">
      <c r="A53" s="2" t="str">
        <f>IFERROR(__xludf.DUMMYFUNCTION("""COMPUTED_VALUE"""),"1768001860001")</f>
        <v>1768001860001</v>
      </c>
      <c r="B53" s="2" t="str">
        <f>IFERROR(__xludf.DUMMYFUNCTION("""COMPUTED_VALUE"""),"BRIGADA DE CABALLERIA MECANIZADA NRO 3 MANABI")</f>
        <v>BRIGADA DE CABALLERIA MECANIZADA NRO 3 MANABI</v>
      </c>
      <c r="C53" s="2" t="str">
        <f>IFERROR(__xludf.DUMMYFUNCTION("""COMPUTED_VALUE"""),"DISPENSARIO MEDICO TIPO B NRO 3")</f>
        <v>DISPENSARIO MEDICO TIPO B NRO 3</v>
      </c>
      <c r="D53" s="2" t="str">
        <f>IFERROR(__xludf.DUMMYFUNCTION("""COMPUTED_VALUE"""),"0990941021")</f>
        <v>0990941021</v>
      </c>
    </row>
    <row r="54">
      <c r="A54" s="2" t="str">
        <f>IFERROR(__xludf.DUMMYFUNCTION("""COMPUTED_VALUE"""),"1312591108001")</f>
        <v>1312591108001</v>
      </c>
      <c r="B54" s="2" t="str">
        <f>IFERROR(__xludf.DUMMYFUNCTION("""COMPUTED_VALUE"""),"BRIONES MACIAS CARLOS ENRIQUE")</f>
        <v>BRIONES MACIAS CARLOS ENRIQUE</v>
      </c>
      <c r="C54" s="2" t="str">
        <f>IFERROR(__xludf.DUMMYFUNCTION("""COMPUTED_VALUE"""),"CONSULTORIO PEDIÁTRICO DR CARLOS BRIONES MACÍAS")</f>
        <v>CONSULTORIO PEDIÁTRICO DR CARLOS BRIONES MACÍAS</v>
      </c>
      <c r="D54" s="2" t="str">
        <f>IFERROR(__xludf.DUMMYFUNCTION("""COMPUTED_VALUE"""),"0994236333")</f>
        <v>0994236333</v>
      </c>
    </row>
    <row r="55">
      <c r="A55" s="2" t="str">
        <f>IFERROR(__xludf.DUMMYFUNCTION("""COMPUTED_VALUE"""),"1306921600001")</f>
        <v>1306921600001</v>
      </c>
      <c r="B55" s="2" t="str">
        <f>IFERROR(__xludf.DUMMYFUNCTION("""COMPUTED_VALUE"""),"BRIONES SOLORZANO KATIUSKA YELENAUSUS")</f>
        <v>BRIONES SOLORZANO KATIUSKA YELENAUSUS</v>
      </c>
      <c r="C55" s="2" t="str">
        <f>IFERROR(__xludf.DUMMYFUNCTION("""COMPUTED_VALUE"""),"CONSULTORIO DENTAL")</f>
        <v>CONSULTORIO DENTAL</v>
      </c>
      <c r="D55" s="2" t="str">
        <f>IFERROR(__xludf.DUMMYFUNCTION("""COMPUTED_VALUE"""),"0989404694")</f>
        <v>0989404694</v>
      </c>
    </row>
    <row r="56">
      <c r="A56" s="2" t="str">
        <f>IFERROR(__xludf.DUMMYFUNCTION("""COMPUTED_VALUE"""),"1311524209001")</f>
        <v>1311524209001</v>
      </c>
      <c r="B56" s="2" t="str">
        <f>IFERROR(__xludf.DUMMYFUNCTION("""COMPUTED_VALUE"""),"BRIONES ZAMBRANO ANDREA PILAR")</f>
        <v>BRIONES ZAMBRANO ANDREA PILAR</v>
      </c>
      <c r="C56" s="2" t="str">
        <f>IFERROR(__xludf.DUMMYFUNCTION("""COMPUTED_VALUE"""),"VACUNORTE")</f>
        <v>VACUNORTE</v>
      </c>
      <c r="D56" s="2" t="str">
        <f>IFERROR(__xludf.DUMMYFUNCTION("""COMPUTED_VALUE"""),"0982914996")</f>
        <v>0982914996</v>
      </c>
    </row>
    <row r="57">
      <c r="A57" s="2" t="str">
        <f>IFERROR(__xludf.DUMMYFUNCTION("""COMPUTED_VALUE"""),"1310932189001")</f>
        <v>1310932189001</v>
      </c>
      <c r="B57" s="2" t="str">
        <f>IFERROR(__xludf.DUMMYFUNCTION("""COMPUTED_VALUE"""),"BURGOS MUÑOZ JOSE LUIS")</f>
        <v>BURGOS MUÑOZ JOSE LUIS</v>
      </c>
      <c r="C57" s="2" t="str">
        <f>IFERROR(__xludf.DUMMYFUNCTION("""COMPUTED_VALUE"""),"CEMEDIS - CENTRO MÉDICO DE DIAGNÓSTICO Y SALUD")</f>
        <v>CEMEDIS - CENTRO MÉDICO DE DIAGNÓSTICO Y SALUD</v>
      </c>
      <c r="D57" s="2" t="str">
        <f>IFERROR(__xludf.DUMMYFUNCTION("""COMPUTED_VALUE"""),"0992481322")</f>
        <v>0992481322</v>
      </c>
    </row>
    <row r="58">
      <c r="A58" s="2" t="str">
        <f>IFERROR(__xludf.DUMMYFUNCTION("""COMPUTED_VALUE"""),"1314076850001")</f>
        <v>1314076850001</v>
      </c>
      <c r="B58" s="2" t="str">
        <f>IFERROR(__xludf.DUMMYFUNCTION("""COMPUTED_VALUE"""),"CABALLERO MENDOZA MARIA GISSELLE")</f>
        <v>CABALLERO MENDOZA MARIA GISSELLE</v>
      </c>
      <c r="C58" s="2" t="str">
        <f>IFERROR(__xludf.DUMMYFUNCTION("""COMPUTED_VALUE"""),"MUNDO SONRISAS")</f>
        <v>MUNDO SONRISAS</v>
      </c>
      <c r="D58" s="2" t="str">
        <f>IFERROR(__xludf.DUMMYFUNCTION("""COMPUTED_VALUE"""),"0982231009")</f>
        <v>0982231009</v>
      </c>
    </row>
    <row r="59">
      <c r="A59" s="2" t="str">
        <f>IFERROR(__xludf.DUMMYFUNCTION("""COMPUTED_VALUE"""),"0704905744001")</f>
        <v>0704905744001</v>
      </c>
      <c r="B59" s="2" t="str">
        <f>IFERROR(__xludf.DUMMYFUNCTION("""COMPUTED_VALUE"""),"CABRERA MENDOZA JENNYFFER MARYAN")</f>
        <v>CABRERA MENDOZA JENNYFFER MARYAN</v>
      </c>
      <c r="C59" s="2" t="str">
        <f>IFERROR(__xludf.DUMMYFUNCTION("""COMPUTED_VALUE"""),"NOVODENT")</f>
        <v>NOVODENT</v>
      </c>
      <c r="D59" s="2" t="str">
        <f>IFERROR(__xludf.DUMMYFUNCTION("""COMPUTED_VALUE"""),"0996527648")</f>
        <v>0996527648</v>
      </c>
    </row>
    <row r="60">
      <c r="A60" s="2" t="str">
        <f>IFERROR(__xludf.DUMMYFUNCTION("""COMPUTED_VALUE"""),"1350235626001")</f>
        <v>1350235626001</v>
      </c>
      <c r="B60" s="2" t="str">
        <f>IFERROR(__xludf.DUMMYFUNCTION("""COMPUTED_VALUE"""),"CAGUA NAPA JENNIFER LISBETH")</f>
        <v>CAGUA NAPA JENNIFER LISBETH</v>
      </c>
      <c r="C60" s="2" t="str">
        <f>IFERROR(__xludf.DUMMYFUNCTION("""COMPUTED_VALUE"""),"CENTRO VETERINARIO MANABI")</f>
        <v>CENTRO VETERINARIO MANABI</v>
      </c>
      <c r="D60" s="2" t="str">
        <f>IFERROR(__xludf.DUMMYFUNCTION("""COMPUTED_VALUE"""),"0981064308")</f>
        <v>0981064308</v>
      </c>
    </row>
    <row r="61">
      <c r="A61" s="2" t="str">
        <f>IFERROR(__xludf.DUMMYFUNCTION("""COMPUTED_VALUE"""),"1306962596001")</f>
        <v>1306962596001</v>
      </c>
      <c r="B61" s="2" t="str">
        <f>IFERROR(__xludf.DUMMYFUNCTION("""COMPUTED_VALUE"""),"CALERO BRIONES ROSA INES")</f>
        <v>CALERO BRIONES ROSA INES</v>
      </c>
      <c r="C61" s="2" t="str">
        <f>IFERROR(__xludf.DUMMYFUNCTION("""COMPUTED_VALUE"""),"PORTOVIEJO MEDICAL CLINIC")</f>
        <v>PORTOVIEJO MEDICAL CLINIC</v>
      </c>
      <c r="D61" s="2" t="str">
        <f>IFERROR(__xludf.DUMMYFUNCTION("""COMPUTED_VALUE"""),"0989102021")</f>
        <v>0989102021</v>
      </c>
    </row>
    <row r="62">
      <c r="A62" s="2" t="str">
        <f>IFERROR(__xludf.DUMMYFUNCTION("""COMPUTED_VALUE"""),"0904161569001")</f>
        <v>0904161569001</v>
      </c>
      <c r="B62" s="2" t="str">
        <f>IFERROR(__xludf.DUMMYFUNCTION("""COMPUTED_VALUE"""),"CAMPUZANO ICAZA CARMEN AURORA")</f>
        <v>CAMPUZANO ICAZA CARMEN AURORA</v>
      </c>
      <c r="C62" s="2" t="str">
        <f>IFERROR(__xludf.DUMMYFUNCTION("""COMPUTED_VALUE"""),"SERVICIO MEDICO ROFE CONSULTORIO MEDICO CARMEN CAMPUZANO")</f>
        <v>SERVICIO MEDICO ROFE CONSULTORIO MEDICO CARMEN CAMPUZANO</v>
      </c>
      <c r="D62" s="2" t="str">
        <f>IFERROR(__xludf.DUMMYFUNCTION("""COMPUTED_VALUE"""),"0998891935")</f>
        <v>0998891935</v>
      </c>
    </row>
    <row r="63">
      <c r="A63" s="2" t="str">
        <f>IFERROR(__xludf.DUMMYFUNCTION("""COMPUTED_VALUE"""),"0704429125001")</f>
        <v>0704429125001</v>
      </c>
      <c r="B63" s="2" t="str">
        <f>IFERROR(__xludf.DUMMYFUNCTION("""COMPUTED_VALUE"""),"CANDO MALDONADO JOSSELYN MICHELLE")</f>
        <v>CANDO MALDONADO JOSSELYN MICHELLE</v>
      </c>
      <c r="C63" s="2" t="str">
        <f>IFERROR(__xludf.DUMMYFUNCTION("""COMPUTED_VALUE"""),"PORSAN DENTAL ARTE EN TU SONRISA ")</f>
        <v>PORSAN DENTAL ARTE EN TU SONRISA </v>
      </c>
      <c r="D63" s="2" t="str">
        <f>IFERROR(__xludf.DUMMYFUNCTION("""COMPUTED_VALUE"""),"0998335174")</f>
        <v>0998335174</v>
      </c>
    </row>
    <row r="64">
      <c r="A64" s="2" t="str">
        <f>IFERROR(__xludf.DUMMYFUNCTION("""COMPUTED_VALUE"""),"1307043354001")</f>
        <v>1307043354001</v>
      </c>
      <c r="B64" s="2" t="str">
        <f>IFERROR(__xludf.DUMMYFUNCTION("""COMPUTED_VALUE"""),"CARDENAS PERDOMO DIEGO ALEXANDER")</f>
        <v>CARDENAS PERDOMO DIEGO ALEXANDER</v>
      </c>
      <c r="C64" s="2" t="str">
        <f>IFERROR(__xludf.DUMMYFUNCTION("""COMPUTED_VALUE"""),"PORTODENT")</f>
        <v>PORTODENT</v>
      </c>
      <c r="D64" s="2" t="str">
        <f>IFERROR(__xludf.DUMMYFUNCTION("""COMPUTED_VALUE"""),"0990017376")</f>
        <v>0990017376</v>
      </c>
    </row>
    <row r="65">
      <c r="A65" s="2" t="str">
        <f>IFERROR(__xludf.DUMMYFUNCTION("""COMPUTED_VALUE"""),"1311785107001")</f>
        <v>1311785107001</v>
      </c>
      <c r="B65" s="2" t="str">
        <f>IFERROR(__xludf.DUMMYFUNCTION("""COMPUTED_VALUE"""),"CARLOS ARCENIO ARAY CEDEÑO")</f>
        <v>CARLOS ARCENIO ARAY CEDEÑO</v>
      </c>
      <c r="C65" s="2" t="str">
        <f>IFERROR(__xludf.DUMMYFUNCTION("""COMPUTED_VALUE"""),"CENTRO ODONTOLOGICO FUNDACION EMMA")</f>
        <v>CENTRO ODONTOLOGICO FUNDACION EMMA</v>
      </c>
      <c r="D65" s="2" t="str">
        <f>IFERROR(__xludf.DUMMYFUNCTION("""COMPUTED_VALUE"""),"0994891157")</f>
        <v>0994891157</v>
      </c>
    </row>
    <row r="66">
      <c r="A66" s="2" t="str">
        <f>IFERROR(__xludf.DUMMYFUNCTION("""COMPUTED_VALUE"""),"1309553236001")</f>
        <v>1309553236001</v>
      </c>
      <c r="B66" s="2" t="str">
        <f>IFERROR(__xludf.DUMMYFUNCTION("""COMPUTED_VALUE"""),"CARVAJAL PALACIOS MAURICIO ANTONIO")</f>
        <v>CARVAJAL PALACIOS MAURICIO ANTONIO</v>
      </c>
      <c r="C66" s="2" t="str">
        <f>IFERROR(__xludf.DUMMYFUNCTION("""COMPUTED_VALUE"""),"CARVAJAL PALACIOS MAURICIO ANTONIO")</f>
        <v>CARVAJAL PALACIOS MAURICIO ANTONIO</v>
      </c>
      <c r="D66" s="2" t="str">
        <f>IFERROR(__xludf.DUMMYFUNCTION("""COMPUTED_VALUE"""),"0989522804")</f>
        <v>0989522804</v>
      </c>
    </row>
    <row r="67">
      <c r="A67" s="2" t="str">
        <f>IFERROR(__xludf.DUMMYFUNCTION("""COMPUTED_VALUE"""),"1391725825001")</f>
        <v>1391725825001</v>
      </c>
      <c r="B67" s="2" t="str">
        <f>IFERROR(__xludf.DUMMYFUNCTION("""COMPUTED_VALUE"""),"CASABA S.A.")</f>
        <v>CASABA S.A.</v>
      </c>
      <c r="C67" s="2" t="str">
        <f>IFERROR(__xludf.DUMMYFUNCTION("""COMPUTED_VALUE"""),"GRUPO LA PAZ")</f>
        <v>GRUPO LA PAZ</v>
      </c>
      <c r="D67" s="2" t="str">
        <f>IFERROR(__xludf.DUMMYFUNCTION("""COMPUTED_VALUE"""),"0989925292")</f>
        <v>0989925292</v>
      </c>
    </row>
    <row r="68">
      <c r="A68" s="2" t="str">
        <f>IFERROR(__xludf.DUMMYFUNCTION("""COMPUTED_VALUE"""),"1308202876001")</f>
        <v>1308202876001</v>
      </c>
      <c r="B68" s="2" t="str">
        <f>IFERROR(__xludf.DUMMYFUNCTION("""COMPUTED_VALUE"""),"CASTILLO ANTON ALEX FABRICIO")</f>
        <v>CASTILLO ANTON ALEX FABRICIO</v>
      </c>
      <c r="C68" s="2" t="str">
        <f>IFERROR(__xludf.DUMMYFUNCTION("""COMPUTED_VALUE"""),"LABORATORIO CLINICO CASTILLO")</f>
        <v>LABORATORIO CLINICO CASTILLO</v>
      </c>
      <c r="D68" s="2" t="str">
        <f>IFERROR(__xludf.DUMMYFUNCTION("""COMPUTED_VALUE"""),"0991774540")</f>
        <v>0991774540</v>
      </c>
    </row>
    <row r="69">
      <c r="A69" s="2" t="str">
        <f>IFERROR(__xludf.DUMMYFUNCTION("""COMPUTED_VALUE"""),"1316306966001")</f>
        <v>1316306966001</v>
      </c>
      <c r="B69" s="2" t="str">
        <f>IFERROR(__xludf.DUMMYFUNCTION("""COMPUTED_VALUE"""),"CASTILLO GUERRERO PIERINA STEFANIA")</f>
        <v>CASTILLO GUERRERO PIERINA STEFANIA</v>
      </c>
      <c r="C69" s="2" t="str">
        <f>IFERROR(__xludf.DUMMYFUNCTION("""COMPUTED_VALUE"""),"PIERINA CASTILLO  OBSTETRA")</f>
        <v>PIERINA CASTILLO  OBSTETRA</v>
      </c>
      <c r="D69" s="2" t="str">
        <f>IFERROR(__xludf.DUMMYFUNCTION("""COMPUTED_VALUE"""),"0989173746")</f>
        <v>0989173746</v>
      </c>
    </row>
    <row r="70">
      <c r="A70" s="2" t="str">
        <f>IFERROR(__xludf.DUMMYFUNCTION("""COMPUTED_VALUE"""),"1304884693001")</f>
        <v>1304884693001</v>
      </c>
      <c r="B70" s="2" t="str">
        <f>IFERROR(__xludf.DUMMYFUNCTION("""COMPUTED_VALUE"""),"CASTRO GUTIERREZ JOSE ADOLFO")</f>
        <v>CASTRO GUTIERREZ JOSE ADOLFO</v>
      </c>
      <c r="C70" s="2" t="str">
        <f>IFERROR(__xludf.DUMMYFUNCTION("""COMPUTED_VALUE"""),"CONSULTORIO DR JOSE ADOLFO CASTRO GUTIERREZ")</f>
        <v>CONSULTORIO DR JOSE ADOLFO CASTRO GUTIERREZ</v>
      </c>
      <c r="D70" s="2" t="str">
        <f>IFERROR(__xludf.DUMMYFUNCTION("""COMPUTED_VALUE"""),"0989617098")</f>
        <v>0989617098</v>
      </c>
    </row>
    <row r="71">
      <c r="A71" s="2" t="str">
        <f>IFERROR(__xludf.DUMMYFUNCTION("""COMPUTED_VALUE"""),"1302937535001")</f>
        <v>1302937535001</v>
      </c>
      <c r="B71" s="2" t="str">
        <f>IFERROR(__xludf.DUMMYFUNCTION("""COMPUTED_VALUE"""),"CASTRO MACIAS ALBERTO ISACIO")</f>
        <v>CASTRO MACIAS ALBERTO ISACIO</v>
      </c>
      <c r="C71" s="2" t="str">
        <f>IFERROR(__xludf.DUMMYFUNCTION("""COMPUTED_VALUE"""),"CONSULTORIO MEDICO")</f>
        <v>CONSULTORIO MEDICO</v>
      </c>
      <c r="D71" s="2" t="str">
        <f>IFERROR(__xludf.DUMMYFUNCTION("""COMPUTED_VALUE"""),"0997066085")</f>
        <v>0997066085</v>
      </c>
    </row>
    <row r="72">
      <c r="A72" s="2" t="str">
        <f>IFERROR(__xludf.DUMMYFUNCTION("""COMPUTED_VALUE"""),"1308407558001")</f>
        <v>1308407558001</v>
      </c>
      <c r="B72" s="2" t="str">
        <f>IFERROR(__xludf.DUMMYFUNCTION("""COMPUTED_VALUE"""),"CASTRO VELASQUEZ DAMIAN ENRIQUE")</f>
        <v>CASTRO VELASQUEZ DAMIAN ENRIQUE</v>
      </c>
      <c r="C72" s="2" t="str">
        <f>IFERROR(__xludf.DUMMYFUNCTION("""COMPUTED_VALUE"""),"LABORATORIO CLINICO DECALAB")</f>
        <v>LABORATORIO CLINICO DECALAB</v>
      </c>
      <c r="D72" s="2" t="str">
        <f>IFERROR(__xludf.DUMMYFUNCTION("""COMPUTED_VALUE"""),"0984901685")</f>
        <v>0984901685</v>
      </c>
    </row>
    <row r="73">
      <c r="A73" s="2" t="str">
        <f>IFERROR(__xludf.DUMMYFUNCTION("""COMPUTED_VALUE"""),"1312597303001")</f>
        <v>1312597303001</v>
      </c>
      <c r="B73" s="2" t="str">
        <f>IFERROR(__xludf.DUMMYFUNCTION("""COMPUTED_VALUE"""),"CASTRO VELEZ EDUARDO LUIS")</f>
        <v>CASTRO VELEZ EDUARDO LUIS</v>
      </c>
      <c r="C73" s="2" t="str">
        <f>IFERROR(__xludf.DUMMYFUNCTION("""COMPUTED_VALUE"""),"CONSULTORIO GENERAL DR EDUARDO CASTRO")</f>
        <v>CONSULTORIO GENERAL DR EDUARDO CASTRO</v>
      </c>
      <c r="D73" s="2" t="str">
        <f>IFERROR(__xludf.DUMMYFUNCTION("""COMPUTED_VALUE"""),"0995461479")</f>
        <v>0995461479</v>
      </c>
    </row>
    <row r="74">
      <c r="A74" s="2" t="str">
        <f>IFERROR(__xludf.DUMMYFUNCTION("""COMPUTED_VALUE"""),"1350215727001")</f>
        <v>1350215727001</v>
      </c>
      <c r="B74" s="2" t="str">
        <f>IFERROR(__xludf.DUMMYFUNCTION("""COMPUTED_VALUE"""),"CEDEÑO BRIONES GEMA JULIANA")</f>
        <v>CEDEÑO BRIONES GEMA JULIANA</v>
      </c>
      <c r="C74" s="2" t="str">
        <f>IFERROR(__xludf.DUMMYFUNCTION("""COMPUTED_VALUE"""),"HALTH SMAILE")</f>
        <v>HALTH SMAILE</v>
      </c>
      <c r="D74" s="2" t="str">
        <f>IFERROR(__xludf.DUMMYFUNCTION("""COMPUTED_VALUE"""),"0993363139")</f>
        <v>0993363139</v>
      </c>
    </row>
    <row r="75">
      <c r="A75" s="2" t="str">
        <f>IFERROR(__xludf.DUMMYFUNCTION("""COMPUTED_VALUE"""),"1350592760001")</f>
        <v>1350592760001</v>
      </c>
      <c r="B75" s="2" t="str">
        <f>IFERROR(__xludf.DUMMYFUNCTION("""COMPUTED_VALUE"""),"CEDEÑO CARREÑO FRANKLIN ALEJANDRO")</f>
        <v>CEDEÑO CARREÑO FRANKLIN ALEJANDRO</v>
      </c>
      <c r="C75" s="2" t="str">
        <f>IFERROR(__xludf.DUMMYFUNCTION("""COMPUTED_VALUE"""),"CONSULTORIO MEDICO")</f>
        <v>CONSULTORIO MEDICO</v>
      </c>
      <c r="D75" s="2" t="str">
        <f>IFERROR(__xludf.DUMMYFUNCTION("""COMPUTED_VALUE"""),"0983691240")</f>
        <v>0983691240</v>
      </c>
    </row>
    <row r="76">
      <c r="A76" s="2" t="str">
        <f>IFERROR(__xludf.DUMMYFUNCTION("""COMPUTED_VALUE"""),"0104670286001")</f>
        <v>0104670286001</v>
      </c>
      <c r="B76" s="2" t="str">
        <f>IFERROR(__xludf.DUMMYFUNCTION("""COMPUTED_VALUE"""),"CEDEÑO CARRILLO MARIA JOSE")</f>
        <v>CEDEÑO CARRILLO MARIA JOSE</v>
      </c>
      <c r="C76" s="2" t="str">
        <f>IFERROR(__xludf.DUMMYFUNCTION("""COMPUTED_VALUE"""),"BOTI MASCOTAS")</f>
        <v>BOTI MASCOTAS</v>
      </c>
      <c r="D76" s="2" t="str">
        <f>IFERROR(__xludf.DUMMYFUNCTION("""COMPUTED_VALUE"""),"0964142876")</f>
        <v>0964142876</v>
      </c>
    </row>
    <row r="77">
      <c r="A77" s="2" t="str">
        <f>IFERROR(__xludf.DUMMYFUNCTION("""COMPUTED_VALUE"""),"1350032197001")</f>
        <v>1350032197001</v>
      </c>
      <c r="B77" s="2" t="str">
        <f>IFERROR(__xludf.DUMMYFUNCTION("""COMPUTED_VALUE"""),"CEDEÑO CEDEÑO LADY LIZ")</f>
        <v>CEDEÑO CEDEÑO LADY LIZ</v>
      </c>
      <c r="C77" s="2" t="str">
        <f>IFERROR(__xludf.DUMMYFUNCTION("""COMPUTED_VALUE"""),"DUALDENT")</f>
        <v>DUALDENT</v>
      </c>
      <c r="D77" s="2" t="str">
        <f>IFERROR(__xludf.DUMMYFUNCTION("""COMPUTED_VALUE"""),"0996919931")</f>
        <v>0996919931</v>
      </c>
    </row>
    <row r="78">
      <c r="A78" s="2" t="str">
        <f>IFERROR(__xludf.DUMMYFUNCTION("""COMPUTED_VALUE"""),"1312296823001")</f>
        <v>1312296823001</v>
      </c>
      <c r="B78" s="2" t="str">
        <f>IFERROR(__xludf.DUMMYFUNCTION("""COMPUTED_VALUE"""),"CEDEÑO CHING ANDREA MONSERRATE")</f>
        <v>CEDEÑO CHING ANDREA MONSERRATE</v>
      </c>
      <c r="C78" s="2" t="str">
        <f>IFERROR(__xludf.DUMMYFUNCTION("""COMPUTED_VALUE"""),"CONSULTORIO DENTAL CECHING")</f>
        <v>CONSULTORIO DENTAL CECHING</v>
      </c>
      <c r="D78" s="2" t="str">
        <f>IFERROR(__xludf.DUMMYFUNCTION("""COMPUTED_VALUE"""),"0978724443")</f>
        <v>0978724443</v>
      </c>
    </row>
    <row r="79">
      <c r="A79" s="2" t="str">
        <f>IFERROR(__xludf.DUMMYFUNCTION("""COMPUTED_VALUE"""),"1313697177001")</f>
        <v>1313697177001</v>
      </c>
      <c r="B79" s="2" t="str">
        <f>IFERROR(__xludf.DUMMYFUNCTION("""COMPUTED_VALUE"""),"CEDEÑO ESMERALDA JOSUE PATRICIO")</f>
        <v>CEDEÑO ESMERALDA JOSUE PATRICIO</v>
      </c>
      <c r="C79" s="2" t="str">
        <f>IFERROR(__xludf.DUMMYFUNCTION("""COMPUTED_VALUE"""),"CONSULTORIO DR JOSUE CEDEÑO")</f>
        <v>CONSULTORIO DR JOSUE CEDEÑO</v>
      </c>
      <c r="D79" s="2" t="str">
        <f>IFERROR(__xludf.DUMMYFUNCTION("""COMPUTED_VALUE"""),"0993824943")</f>
        <v>0993824943</v>
      </c>
    </row>
    <row r="80">
      <c r="A80" s="2" t="str">
        <f>IFERROR(__xludf.DUMMYFUNCTION("""COMPUTED_VALUE"""),"1300015847001")</f>
        <v>1300015847001</v>
      </c>
      <c r="B80" s="2" t="str">
        <f>IFERROR(__xludf.DUMMYFUNCTION("""COMPUTED_VALUE"""),"CEDEÑO LICOA JOSE HUMBERTO")</f>
        <v>CEDEÑO LICOA JOSE HUMBERTO</v>
      </c>
      <c r="C80" s="2" t="str">
        <f>IFERROR(__xludf.DUMMYFUNCTION("""COMPUTED_VALUE"""),"CENTRO DE TOLERANCIA EL ROSARIO")</f>
        <v>CENTRO DE TOLERANCIA EL ROSARIO</v>
      </c>
      <c r="D80" s="2" t="str">
        <f>IFERROR(__xludf.DUMMYFUNCTION("""COMPUTED_VALUE"""),"0992259500")</f>
        <v>0992259500</v>
      </c>
    </row>
    <row r="81">
      <c r="A81" s="2" t="str">
        <f>IFERROR(__xludf.DUMMYFUNCTION("""COMPUTED_VALUE"""),"1315182475001")</f>
        <v>1315182475001</v>
      </c>
      <c r="B81" s="2" t="str">
        <f>IFERROR(__xludf.DUMMYFUNCTION("""COMPUTED_VALUE"""),"CEDEÑO MACIAS BYRON ANDRES")</f>
        <v>CEDEÑO MACIAS BYRON ANDRES</v>
      </c>
      <c r="C81" s="2" t="str">
        <f>IFERROR(__xludf.DUMMYFUNCTION("""COMPUTED_VALUE"""),"ESTUDIOS BYFO TATTOO")</f>
        <v>ESTUDIOS BYFO TATTOO</v>
      </c>
      <c r="D81" s="2" t="str">
        <f>IFERROR(__xludf.DUMMYFUNCTION("""COMPUTED_VALUE"""),"0969598336")</f>
        <v>0969598336</v>
      </c>
    </row>
    <row r="82">
      <c r="A82" s="2" t="str">
        <f>IFERROR(__xludf.DUMMYFUNCTION("""COMPUTED_VALUE"""),"1391779313001")</f>
        <v>1391779313001</v>
      </c>
      <c r="B82" s="2" t="str">
        <f>IFERROR(__xludf.DUMMYFUNCTION("""COMPUTED_VALUE"""),"CEDEÑO MACIAS HAROLD SEGUNDO")</f>
        <v>CEDEÑO MACIAS HAROLD SEGUNDO</v>
      </c>
      <c r="C82" s="2" t="str">
        <f>IFERROR(__xludf.DUMMYFUNCTION("""COMPUTED_VALUE"""),"CENTRO CARDIO S A")</f>
        <v>CENTRO CARDIO S A</v>
      </c>
      <c r="D82" s="2" t="str">
        <f>IFERROR(__xludf.DUMMYFUNCTION("""COMPUTED_VALUE"""),"0985993737")</f>
        <v>0985993737</v>
      </c>
    </row>
    <row r="83">
      <c r="A83" s="2" t="str">
        <f>IFERROR(__xludf.DUMMYFUNCTION("""COMPUTED_VALUE"""),"1312412008001")</f>
        <v>1312412008001</v>
      </c>
      <c r="B83" s="2" t="str">
        <f>IFERROR(__xludf.DUMMYFUNCTION("""COMPUTED_VALUE"""),"CEDEÑO MOREIRA KATHERYN MERCEDES")</f>
        <v>CEDEÑO MOREIRA KATHERYN MERCEDES</v>
      </c>
      <c r="C83" s="2" t="str">
        <f>IFERROR(__xludf.DUMMYFUNCTION("""COMPUTED_VALUE"""),"PRĀNA ESTUDIO DENTAL")</f>
        <v>PRĀNA ESTUDIO DENTAL</v>
      </c>
      <c r="D83" s="2" t="str">
        <f>IFERROR(__xludf.DUMMYFUNCTION("""COMPUTED_VALUE"""),"0980654408")</f>
        <v>0980654408</v>
      </c>
    </row>
    <row r="84">
      <c r="A84" s="2" t="str">
        <f>IFERROR(__xludf.DUMMYFUNCTION("""COMPUTED_VALUE"""),"1313468454001")</f>
        <v>1313468454001</v>
      </c>
      <c r="B84" s="2" t="str">
        <f>IFERROR(__xludf.DUMMYFUNCTION("""COMPUTED_VALUE"""),"CEDEÑO VELEZ DECSY EVELYN")</f>
        <v>CEDEÑO VELEZ DECSY EVELYN</v>
      </c>
      <c r="C84" s="2" t="str">
        <f>IFERROR(__xludf.DUMMYFUNCTION("""COMPUTED_VALUE"""),"")</f>
        <v/>
      </c>
      <c r="D84" s="2" t="str">
        <f>IFERROR(__xludf.DUMMYFUNCTION("""COMPUTED_VALUE"""),"0987146243")</f>
        <v>0987146243</v>
      </c>
    </row>
    <row r="85">
      <c r="A85" s="2" t="str">
        <f>IFERROR(__xludf.DUMMYFUNCTION("""COMPUTED_VALUE"""),"1303959975001")</f>
        <v>1303959975001</v>
      </c>
      <c r="B85" s="2" t="str">
        <f>IFERROR(__xludf.DUMMYFUNCTION("""COMPUTED_VALUE"""),"CEDEÑO ZAMBRANO TREIBEL AZUCENA")</f>
        <v>CEDEÑO ZAMBRANO TREIBEL AZUCENA</v>
      </c>
      <c r="C85" s="2" t="str">
        <f>IFERROR(__xludf.DUMMYFUNCTION("""COMPUTED_VALUE"""),"LABORATORIO CLINICO MARCELO ESPINOLA")</f>
        <v>LABORATORIO CLINICO MARCELO ESPINOLA</v>
      </c>
      <c r="D85" s="2" t="str">
        <f>IFERROR(__xludf.DUMMYFUNCTION("""COMPUTED_VALUE"""),"0998066258")</f>
        <v>0998066258</v>
      </c>
    </row>
    <row r="86">
      <c r="A86" s="2" t="str">
        <f>IFERROR(__xludf.DUMMYFUNCTION("""COMPUTED_VALUE"""),"1311302259001")</f>
        <v>1311302259001</v>
      </c>
      <c r="B86" s="2" t="str">
        <f>IFERROR(__xludf.DUMMYFUNCTION("""COMPUTED_VALUE"""),"CEDEÑO ZAMBRANO ZAYDA VICTORIA")</f>
        <v>CEDEÑO ZAMBRANO ZAYDA VICTORIA</v>
      </c>
      <c r="C86" s="2" t="str">
        <f>IFERROR(__xludf.DUMMYFUNCTION("""COMPUTED_VALUE"""),"ZAYDA CEDEÑO PEDIATRA")</f>
        <v>ZAYDA CEDEÑO PEDIATRA</v>
      </c>
      <c r="D86" s="2" t="str">
        <f>IFERROR(__xludf.DUMMYFUNCTION("""COMPUTED_VALUE"""),"0983314746")</f>
        <v>0983314746</v>
      </c>
    </row>
    <row r="87">
      <c r="A87" s="2" t="str">
        <f>IFERROR(__xludf.DUMMYFUNCTION("""COMPUTED_VALUE"""),"1391913141001")</f>
        <v>1391913141001</v>
      </c>
      <c r="B87" s="2" t="str">
        <f>IFERROR(__xludf.DUMMYFUNCTION("""COMPUTED_VALUE"""),"CENTRO DE ESPECIALIDADES MEDICAS Y ODONTOLOGICAS MEDICYDENTAL S A")</f>
        <v>CENTRO DE ESPECIALIDADES MEDICAS Y ODONTOLOGICAS MEDICYDENTAL S A</v>
      </c>
      <c r="C87" s="2" t="str">
        <f>IFERROR(__xludf.DUMMYFUNCTION("""COMPUTED_VALUE"""),"CENTRO DE ESPECIALIDADES MEDICAS Y ODONTOLOGICAS MEDICYDENTAL S A")</f>
        <v>CENTRO DE ESPECIALIDADES MEDICAS Y ODONTOLOGICAS MEDICYDENTAL S A</v>
      </c>
      <c r="D87" s="2" t="str">
        <f>IFERROR(__xludf.DUMMYFUNCTION("""COMPUTED_VALUE"""),"0999881144")</f>
        <v>0999881144</v>
      </c>
    </row>
    <row r="88">
      <c r="A88" s="2" t="str">
        <f>IFERROR(__xludf.DUMMYFUNCTION("""COMPUTED_VALUE"""),"1391820372001")</f>
        <v>1391820372001</v>
      </c>
      <c r="B88" s="2" t="str">
        <f>IFERROR(__xludf.DUMMYFUNCTION("""COMPUTED_VALUE"""),"CENTRO DE INV. Y TRATAMIENTO DE ENFERMEDADES INFECCIOSAS E INFLAMATORIAS CRONICAS CITEIC CIA. LTDA.")</f>
        <v>CENTRO DE INV. Y TRATAMIENTO DE ENFERMEDADES INFECCIOSAS E INFLAMATORIAS CRONICAS CITEIC CIA. LTDA.</v>
      </c>
      <c r="C88" s="2" t="str">
        <f>IFERROR(__xludf.DUMMYFUNCTION("""COMPUTED_VALUE"""),"CITEIC")</f>
        <v>CITEIC</v>
      </c>
      <c r="D88" s="2" t="str">
        <f>IFERROR(__xludf.DUMMYFUNCTION("""COMPUTED_VALUE"""),"0981052489")</f>
        <v>0981052489</v>
      </c>
    </row>
    <row r="89">
      <c r="A89" s="2" t="str">
        <f>IFERROR(__xludf.DUMMYFUNCTION("""COMPUTED_VALUE"""),"1360059520001")</f>
        <v>1360059520001</v>
      </c>
      <c r="B89" s="2" t="str">
        <f>IFERROR(__xludf.DUMMYFUNCTION("""COMPUTED_VALUE"""),"CENTRO DE SALUD B PORTOVIEJO")</f>
        <v>CENTRO DE SALUD B PORTOVIEJO</v>
      </c>
      <c r="C89" s="2" t="str">
        <f>IFERROR(__xludf.DUMMYFUNCTION("""COMPUTED_VALUE"""),"CENTRO DE SALUD B PORTOVIEJO IESS")</f>
        <v>CENTRO DE SALUD B PORTOVIEJO IESS</v>
      </c>
      <c r="D89" s="2" t="str">
        <f>IFERROR(__xludf.DUMMYFUNCTION("""COMPUTED_VALUE"""),"0987459756")</f>
        <v>0987459756</v>
      </c>
    </row>
    <row r="90">
      <c r="A90" s="2" t="str">
        <f>IFERROR(__xludf.DUMMYFUNCTION("""COMPUTED_VALUE"""),"1391918216001")</f>
        <v>1391918216001</v>
      </c>
      <c r="B90" s="2" t="str">
        <f>IFERROR(__xludf.DUMMYFUNCTION("""COMPUTED_VALUE"""),"CENTRO DIAGNOSTICO SAN FRANCISCO MEDICALAB&amp;CALDERON S.A.S.")</f>
        <v>CENTRO DIAGNOSTICO SAN FRANCISCO MEDICALAB&amp;CALDERON S.A.S.</v>
      </c>
      <c r="C90" s="2" t="str">
        <f>IFERROR(__xludf.DUMMYFUNCTION("""COMPUTED_VALUE"""),"CENTRO DE DIAGNOSTICO SAN FRANCISCO")</f>
        <v>CENTRO DE DIAGNOSTICO SAN FRANCISCO</v>
      </c>
      <c r="D90" s="2" t="str">
        <f>IFERROR(__xludf.DUMMYFUNCTION("""COMPUTED_VALUE"""),"0999923310")</f>
        <v>0999923310</v>
      </c>
    </row>
    <row r="91">
      <c r="A91" s="2" t="str">
        <f>IFERROR(__xludf.DUMMYFUNCTION("""COMPUTED_VALUE"""),"1391933091001")</f>
        <v>1391933091001</v>
      </c>
      <c r="B91" s="2" t="str">
        <f>IFERROR(__xludf.DUMMYFUNCTION("""COMPUTED_VALUE"""),"CENTRO ESPECIALIZADO DE IMAGENES MANABI CEDIM S.A.S.")</f>
        <v>CENTRO ESPECIALIZADO DE IMAGENES MANABI CEDIM S.A.S.</v>
      </c>
      <c r="C91" s="2" t="str">
        <f>IFERROR(__xludf.DUMMYFUNCTION("""COMPUTED_VALUE"""),"CENTRO ESPECIALIZADO DE IMAGENES MANABI CEDIM")</f>
        <v>CENTRO ESPECIALIZADO DE IMAGENES MANABI CEDIM</v>
      </c>
      <c r="D91" s="2" t="str">
        <f>IFERROR(__xludf.DUMMYFUNCTION("""COMPUTED_VALUE"""),"0967569030")</f>
        <v>0967569030</v>
      </c>
    </row>
    <row r="92">
      <c r="A92" s="2" t="str">
        <f>IFERROR(__xludf.DUMMYFUNCTION("""COMPUTED_VALUE"""),"1391792026001")</f>
        <v>1391792026001</v>
      </c>
      <c r="B92" s="2" t="str">
        <f>IFERROR(__xludf.DUMMYFUNCTION("""COMPUTED_VALUE"""),"CENTRO OFTALMOLOGICO MANABI ENACE S.A.")</f>
        <v>CENTRO OFTALMOLOGICO MANABI ENACE S.A.</v>
      </c>
      <c r="C92" s="2" t="str">
        <f>IFERROR(__xludf.DUMMYFUNCTION("""COMPUTED_VALUE"""),"CENTRO OFTALMOLOGICO ENACE SA")</f>
        <v>CENTRO OFTALMOLOGICO ENACE SA</v>
      </c>
      <c r="D92" s="2" t="str">
        <f>IFERROR(__xludf.DUMMYFUNCTION("""COMPUTED_VALUE"""),"0983327615")</f>
        <v>0983327615</v>
      </c>
    </row>
    <row r="93">
      <c r="A93" s="2" t="str">
        <f>IFERROR(__xludf.DUMMYFUNCTION("""COMPUTED_VALUE"""),"1391841949001")</f>
        <v>1391841949001</v>
      </c>
      <c r="B93" s="2" t="str">
        <f>IFERROR(__xludf.DUMMYFUNCTION("""COMPUTED_VALUE"""),"CENTRO RADIOLOGICO DENTAL RADIODENT S.A.")</f>
        <v>CENTRO RADIOLOGICO DENTAL RADIODENT S.A.</v>
      </c>
      <c r="C93" s="2" t="str">
        <f>IFERROR(__xludf.DUMMYFUNCTION("""COMPUTED_VALUE"""),"CENTRO RADIOLOGICO DENTAL ALFA")</f>
        <v>CENTRO RADIOLOGICO DENTAL ALFA</v>
      </c>
      <c r="D93" s="2" t="str">
        <f>IFERROR(__xludf.DUMMYFUNCTION("""COMPUTED_VALUE"""),"0960005479")</f>
        <v>0960005479</v>
      </c>
    </row>
    <row r="94">
      <c r="A94" s="2" t="str">
        <f>IFERROR(__xludf.DUMMYFUNCTION("""COMPUTED_VALUE"""),"1792785251001")</f>
        <v>1792785251001</v>
      </c>
      <c r="B94" s="2" t="str">
        <f>IFERROR(__xludf.DUMMYFUNCTION("""COMPUTED_VALUE"""),"CENTROS MEDICOS INTERNACIONALES INTERCENMED SA")</f>
        <v>CENTROS MEDICOS INTERNACIONALES INTERCENMED SA</v>
      </c>
      <c r="C94" s="2" t="str">
        <f>IFERROR(__xludf.DUMMYFUNCTION("""COMPUTED_VALUE"""),"PRAXMED")</f>
        <v>PRAXMED</v>
      </c>
      <c r="D94" s="2" t="str">
        <f>IFERROR(__xludf.DUMMYFUNCTION("""COMPUTED_VALUE"""),"0992134737")</f>
        <v>0992134737</v>
      </c>
    </row>
    <row r="95">
      <c r="A95" s="2" t="str">
        <f>IFERROR(__xludf.DUMMYFUNCTION("""COMPUTED_VALUE"""),"1310255268001")</f>
        <v>1310255268001</v>
      </c>
      <c r="B95" s="2" t="str">
        <f>IFERROR(__xludf.DUMMYFUNCTION("""COMPUTED_VALUE"""),"CEVALLOS CEDEÑO GUILLERMO RICARDO")</f>
        <v>CEVALLOS CEDEÑO GUILLERMO RICARDO</v>
      </c>
      <c r="C95" s="2" t="str">
        <f>IFERROR(__xludf.DUMMYFUNCTION("""COMPUTED_VALUE"""),"UNI ENDO UNIDAD DE ENDOSCOPIA DE ALTA COMPLEJIDAD")</f>
        <v>UNI ENDO UNIDAD DE ENDOSCOPIA DE ALTA COMPLEJIDAD</v>
      </c>
      <c r="D95" s="2" t="str">
        <f>IFERROR(__xludf.DUMMYFUNCTION("""COMPUTED_VALUE"""),"0981148830")</f>
        <v>0981148830</v>
      </c>
    </row>
    <row r="96">
      <c r="A96" s="2" t="str">
        <f>IFERROR(__xludf.DUMMYFUNCTION("""COMPUTED_VALUE"""),"1311550568001")</f>
        <v>1311550568001</v>
      </c>
      <c r="B96" s="2" t="str">
        <f>IFERROR(__xludf.DUMMYFUNCTION("""COMPUTED_VALUE"""),"CEVALLOS LOOR DARIO JAVIER")</f>
        <v>CEVALLOS LOOR DARIO JAVIER</v>
      </c>
      <c r="C96" s="2" t="str">
        <f>IFERROR(__xludf.DUMMYFUNCTION("""COMPUTED_VALUE"""),"DARIDENT")</f>
        <v>DARIDENT</v>
      </c>
      <c r="D96" s="2" t="str">
        <f>IFERROR(__xludf.DUMMYFUNCTION("""COMPUTED_VALUE"""),"0978619660")</f>
        <v>0978619660</v>
      </c>
    </row>
    <row r="97">
      <c r="A97" s="2" t="str">
        <f>IFERROR(__xludf.DUMMYFUNCTION("""COMPUTED_VALUE"""),"1311719874001")</f>
        <v>1311719874001</v>
      </c>
      <c r="B97" s="2" t="str">
        <f>IFERROR(__xludf.DUMMYFUNCTION("""COMPUTED_VALUE"""),"CEVALLOS SALTOS WILLIAMS ALFREDO")</f>
        <v>CEVALLOS SALTOS WILLIAMS ALFREDO</v>
      </c>
      <c r="C97" s="2" t="str">
        <f>IFERROR(__xludf.DUMMYFUNCTION("""COMPUTED_VALUE"""),"MED CARE")</f>
        <v>MED CARE</v>
      </c>
      <c r="D97" s="2" t="str">
        <f>IFERROR(__xludf.DUMMYFUNCTION("""COMPUTED_VALUE"""),"0990788343")</f>
        <v>0990788343</v>
      </c>
    </row>
    <row r="98">
      <c r="A98" s="2" t="str">
        <f>IFERROR(__xludf.DUMMYFUNCTION("""COMPUTED_VALUE"""),"1350318844001")</f>
        <v>1350318844001</v>
      </c>
      <c r="B98" s="2" t="str">
        <f>IFERROR(__xludf.DUMMYFUNCTION("""COMPUTED_VALUE"""),"CEVALLOS VELIZ GENESSIS THALYA")</f>
        <v>CEVALLOS VELIZ GENESSIS THALYA</v>
      </c>
      <c r="C98" s="2" t="str">
        <f>IFERROR(__xludf.DUMMYFUNCTION("""COMPUTED_VALUE"""),"ODONTOSONRISAS")</f>
        <v>ODONTOSONRISAS</v>
      </c>
      <c r="D98" s="2" t="str">
        <f>IFERROR(__xludf.DUMMYFUNCTION("""COMPUTED_VALUE"""),"0967208379")</f>
        <v>0967208379</v>
      </c>
    </row>
    <row r="99">
      <c r="A99" s="2" t="str">
        <f>IFERROR(__xludf.DUMMYFUNCTION("""COMPUTED_VALUE"""),"1316480845001")</f>
        <v>1316480845001</v>
      </c>
      <c r="B99" s="2" t="str">
        <f>IFERROR(__xludf.DUMMYFUNCTION("""COMPUTED_VALUE"""),"CHABLA ESPINALES BRYAN STEEVEN")</f>
        <v>CHABLA ESPINALES BRYAN STEEVEN</v>
      </c>
      <c r="C99" s="2" t="str">
        <f>IFERROR(__xludf.DUMMYFUNCTION("""COMPUTED_VALUE"""),"LABORATORIO HEMATOLAB")</f>
        <v>LABORATORIO HEMATOLAB</v>
      </c>
      <c r="D99" s="2" t="str">
        <f>IFERROR(__xludf.DUMMYFUNCTION("""COMPUTED_VALUE"""),"0978933830")</f>
        <v>0978933830</v>
      </c>
    </row>
    <row r="100">
      <c r="A100" s="2" t="str">
        <f>IFERROR(__xludf.DUMMYFUNCTION("""COMPUTED_VALUE"""),"0802365015001")</f>
        <v>0802365015001</v>
      </c>
      <c r="B100" s="2" t="str">
        <f>IFERROR(__xludf.DUMMYFUNCTION("""COMPUTED_VALUE"""),"CHACON TENEMAZA DIANA RAQUEL")</f>
        <v>CHACON TENEMAZA DIANA RAQUEL</v>
      </c>
      <c r="C100" s="2" t="str">
        <f>IFERROR(__xludf.DUMMYFUNCTION("""COMPUTED_VALUE"""),"CHACON VETERINARIA")</f>
        <v>CHACON VETERINARIA</v>
      </c>
      <c r="D100" s="2" t="str">
        <f>IFERROR(__xludf.DUMMYFUNCTION("""COMPUTED_VALUE"""),"0992019012")</f>
        <v>0992019012</v>
      </c>
    </row>
    <row r="101">
      <c r="A101" s="2" t="str">
        <f>IFERROR(__xludf.DUMMYFUNCTION("""COMPUTED_VALUE"""),"1307537355001")</f>
        <v>1307537355001</v>
      </c>
      <c r="B101" s="2" t="str">
        <f>IFERROR(__xludf.DUMMYFUNCTION("""COMPUTED_VALUE"""),"CHANCAY CEVALLOS MARIA ISABEL")</f>
        <v>CHANCAY CEVALLOS MARIA ISABEL</v>
      </c>
      <c r="C101" s="2" t="str">
        <f>IFERROR(__xludf.DUMMYFUNCTION("""COMPUTED_VALUE"""),"CONSULTORIO ODONTOLOGICO DRA MARIA ISABEL CHANCAY CEVALLOS")</f>
        <v>CONSULTORIO ODONTOLOGICO DRA MARIA ISABEL CHANCAY CEVALLOS</v>
      </c>
      <c r="D101" s="2" t="str">
        <f>IFERROR(__xludf.DUMMYFUNCTION("""COMPUTED_VALUE"""),"0994768530")</f>
        <v>0994768530</v>
      </c>
    </row>
    <row r="102">
      <c r="A102" s="2" t="str">
        <f>IFERROR(__xludf.DUMMYFUNCTION("""COMPUTED_VALUE"""),"1306911726001")</f>
        <v>1306911726001</v>
      </c>
      <c r="B102" s="2" t="str">
        <f>IFERROR(__xludf.DUMMYFUNCTION("""COMPUTED_VALUE"""),"CHANG VELEZ TAMARA SCARLEHT")</f>
        <v>CHANG VELEZ TAMARA SCARLEHT</v>
      </c>
      <c r="C102" s="2" t="str">
        <f>IFERROR(__xludf.DUMMYFUNCTION("""COMPUTED_VALUE"""),"CONSULTORIO VETERINARIO CHANG")</f>
        <v>CONSULTORIO VETERINARIO CHANG</v>
      </c>
      <c r="D102" s="2" t="str">
        <f>IFERROR(__xludf.DUMMYFUNCTION("""COMPUTED_VALUE"""),"0994445997")</f>
        <v>0994445997</v>
      </c>
    </row>
    <row r="103">
      <c r="A103" s="2" t="str">
        <f>IFERROR(__xludf.DUMMYFUNCTION("""COMPUTED_VALUE"""),"1315180180001")</f>
        <v>1315180180001</v>
      </c>
      <c r="B103" s="2" t="str">
        <f>IFERROR(__xludf.DUMMYFUNCTION("""COMPUTED_VALUE"""),"CHAVEZ CHANCAY LEON ALFARO")</f>
        <v>CHAVEZ CHANCAY LEON ALFARO</v>
      </c>
      <c r="C103" s="2" t="str">
        <f>IFERROR(__xludf.DUMMYFUNCTION("""COMPUTED_VALUE"""),"DENTAL PRO")</f>
        <v>DENTAL PRO</v>
      </c>
      <c r="D103" s="2" t="str">
        <f>IFERROR(__xludf.DUMMYFUNCTION("""COMPUTED_VALUE"""),"0985666431")</f>
        <v>0985666431</v>
      </c>
    </row>
    <row r="104">
      <c r="A104" s="2" t="str">
        <f>IFERROR(__xludf.DUMMYFUNCTION("""COMPUTED_VALUE"""),"1309577987001")</f>
        <v>1309577987001</v>
      </c>
      <c r="B104" s="2" t="str">
        <f>IFERROR(__xludf.DUMMYFUNCTION("""COMPUTED_VALUE"""),"CHAVEZ INTRIAGO JESSICA MONSERRATE")</f>
        <v>CHAVEZ INTRIAGO JESSICA MONSERRATE</v>
      </c>
      <c r="C104" s="2" t="str">
        <f>IFERROR(__xludf.DUMMYFUNCTION("""COMPUTED_VALUE"""),"CONSULTORIO ODONTOLOGICO DENTAL JEMCHI")</f>
        <v>CONSULTORIO ODONTOLOGICO DENTAL JEMCHI</v>
      </c>
      <c r="D104" s="2" t="str">
        <f>IFERROR(__xludf.DUMMYFUNCTION("""COMPUTED_VALUE"""),"0997773302")</f>
        <v>0997773302</v>
      </c>
    </row>
    <row r="105">
      <c r="A105" s="2" t="str">
        <f>IFERROR(__xludf.DUMMYFUNCTION("""COMPUTED_VALUE"""),"1313147439001")</f>
        <v>1313147439001</v>
      </c>
      <c r="B105" s="2" t="str">
        <f>IFERROR(__xludf.DUMMYFUNCTION("""COMPUTED_VALUE"""),"CHAVEZ VERA MARIA GABRIELA")</f>
        <v>CHAVEZ VERA MARIA GABRIELA</v>
      </c>
      <c r="C105" s="2" t="str">
        <f>IFERROR(__xludf.DUMMYFUNCTION("""COMPUTED_VALUE"""),"CONSULTORIO DENTAL DRA MARIA CHAVEZ")</f>
        <v>CONSULTORIO DENTAL DRA MARIA CHAVEZ</v>
      </c>
      <c r="D105" s="2" t="str">
        <f>IFERROR(__xludf.DUMMYFUNCTION("""COMPUTED_VALUE"""),"0981653567")</f>
        <v>0981653567</v>
      </c>
    </row>
    <row r="106">
      <c r="A106" s="2" t="str">
        <f>IFERROR(__xludf.DUMMYFUNCTION("""COMPUTED_VALUE"""),"1312093337001")</f>
        <v>1312093337001</v>
      </c>
      <c r="B106" s="2" t="str">
        <f>IFERROR(__xludf.DUMMYFUNCTION("""COMPUTED_VALUE"""),"CHEVEZ DELGADO JULIANA JULISSA")</f>
        <v>CHEVEZ DELGADO JULIANA JULISSA</v>
      </c>
      <c r="C106" s="2" t="str">
        <f>IFERROR(__xludf.DUMMYFUNCTION("""COMPUTED_VALUE"""),"LABORATORIO DE ANALISIS CLINICO MEDICLAB CETEMEV")</f>
        <v>LABORATORIO DE ANALISIS CLINICO MEDICLAB CETEMEV</v>
      </c>
      <c r="D106" s="2" t="str">
        <f>IFERROR(__xludf.DUMMYFUNCTION("""COMPUTED_VALUE"""),"0985258246")</f>
        <v>0985258246</v>
      </c>
    </row>
    <row r="107">
      <c r="A107" s="2" t="str">
        <f>IFERROR(__xludf.DUMMYFUNCTION("""COMPUTED_VALUE"""),"1391910991001")</f>
        <v>1391910991001</v>
      </c>
      <c r="B107" s="2" t="str">
        <f>IFERROR(__xludf.DUMMYFUNCTION("""COMPUTED_VALUE"""),"CLÍNICA ODONTOLÓGICA CEOM")</f>
        <v>CLÍNICA ODONTOLÓGICA CEOM</v>
      </c>
      <c r="C107" s="2" t="str">
        <f>IFERROR(__xludf.DUMMYFUNCTION("""COMPUTED_VALUE"""),"CLÍNICA ODONTOLÓGICA CEOM")</f>
        <v>CLÍNICA ODONTOLÓGICA CEOM</v>
      </c>
      <c r="D107" s="2" t="str">
        <f>IFERROR(__xludf.DUMMYFUNCTION("""COMPUTED_VALUE"""),"0961989823")</f>
        <v>0961989823</v>
      </c>
    </row>
    <row r="108">
      <c r="A108" s="2" t="str">
        <f>IFERROR(__xludf.DUMMYFUNCTION("""COMPUTED_VALUE"""),"1391754167001")</f>
        <v>1391754167001</v>
      </c>
      <c r="B108" s="2" t="str">
        <f>IFERROR(__xludf.DUMMYFUNCTION("""COMPUTED_VALUE"""),"CLINICA STAMARGARITA S.A.")</f>
        <v>CLINICA STAMARGARITA S.A.</v>
      </c>
      <c r="C108" s="2" t="str">
        <f>IFERROR(__xludf.DUMMYFUNCTION("""COMPUTED_VALUE"""),"CLINICA STAMARGARITA S A")</f>
        <v>CLINICA STAMARGARITA S A</v>
      </c>
      <c r="D108" s="2" t="str">
        <f>IFERROR(__xludf.DUMMYFUNCTION("""COMPUTED_VALUE"""),"0999364301")</f>
        <v>0999364301</v>
      </c>
    </row>
    <row r="109">
      <c r="A109" s="2" t="str">
        <f>IFERROR(__xludf.DUMMYFUNCTION("""COMPUTED_VALUE"""),"1391867425001")</f>
        <v>1391867425001</v>
      </c>
      <c r="B109" s="2" t="str">
        <f>IFERROR(__xludf.DUMMYFUNCTION("""COMPUTED_VALUE"""),"CLINITSANANTONIODEPADUA S.A.")</f>
        <v>CLINITSANANTONIODEPADUA S.A.</v>
      </c>
      <c r="C109" s="2" t="str">
        <f>IFERROR(__xludf.DUMMYFUNCTION("""COMPUTED_VALUE"""),"HOSPITAL DE ESPECIALIDADES SAN ANTONIO DE PADUA")</f>
        <v>HOSPITAL DE ESPECIALIDADES SAN ANTONIO DE PADUA</v>
      </c>
      <c r="D109" s="2" t="str">
        <f>IFERROR(__xludf.DUMMYFUNCTION("""COMPUTED_VALUE"""),"0993199343")</f>
        <v>0993199343</v>
      </c>
    </row>
    <row r="110">
      <c r="A110" s="2" t="str">
        <f>IFERROR(__xludf.DUMMYFUNCTION("""COMPUTED_VALUE"""),"1350184410001")</f>
        <v>1350184410001</v>
      </c>
      <c r="B110" s="2" t="str">
        <f>IFERROR(__xludf.DUMMYFUNCTION("""COMPUTED_VALUE"""),"COBEÑA BOWEN JACINTO ALBERTO")</f>
        <v>COBEÑA BOWEN JACINTO ALBERTO</v>
      </c>
      <c r="C110" s="2" t="str">
        <f>IFERROR(__xludf.DUMMYFUNCTION("""COMPUTED_VALUE"""),"CONSULTORIO MÉDICO ALTHAEA ")</f>
        <v>CONSULTORIO MÉDICO ALTHAEA </v>
      </c>
      <c r="D110" s="2" t="str">
        <f>IFERROR(__xludf.DUMMYFUNCTION("""COMPUTED_VALUE"""),"0994762567")</f>
        <v>0994762567</v>
      </c>
    </row>
    <row r="111">
      <c r="A111" s="2" t="str">
        <f>IFERROR(__xludf.DUMMYFUNCTION("""COMPUTED_VALUE"""),"1314742089001")</f>
        <v>1314742089001</v>
      </c>
      <c r="B111" s="2" t="str">
        <f>IFERROR(__xludf.DUMMYFUNCTION("""COMPUTED_VALUE"""),"COBEÑA GARCIA WENDY ALEJANDRA")</f>
        <v>COBEÑA GARCIA WENDY ALEJANDRA</v>
      </c>
      <c r="C111" s="2" t="str">
        <f>IFERROR(__xludf.DUMMYFUNCTION("""COMPUTED_VALUE"""),"CONSULTORIO MÉDICO CAMPIMEDIC")</f>
        <v>CONSULTORIO MÉDICO CAMPIMEDIC</v>
      </c>
      <c r="D111" s="2" t="str">
        <f>IFERROR(__xludf.DUMMYFUNCTION("""COMPUTED_VALUE"""),"0990931520")</f>
        <v>0990931520</v>
      </c>
    </row>
    <row r="112">
      <c r="A112" s="2" t="str">
        <f>IFERROR(__xludf.DUMMYFUNCTION("""COMPUTED_VALUE"""),"0704281278001")</f>
        <v>0704281278001</v>
      </c>
      <c r="B112" s="2" t="str">
        <f>IFERROR(__xludf.DUMMYFUNCTION("""COMPUTED_VALUE"""),"COELLO BLACIO JOSE LUIS")</f>
        <v>COELLO BLACIO JOSE LUIS</v>
      </c>
      <c r="C112" s="2" t="str">
        <f>IFERROR(__xludf.DUMMYFUNCTION("""COMPUTED_VALUE"""),"CENTRO DE CAPACITACIÓN CONSULTING GROUP")</f>
        <v>CENTRO DE CAPACITACIÓN CONSULTING GROUP</v>
      </c>
      <c r="D112" s="2" t="str">
        <f>IFERROR(__xludf.DUMMYFUNCTION("""COMPUTED_VALUE"""),"0958725166")</f>
        <v>0958725166</v>
      </c>
    </row>
    <row r="113">
      <c r="A113" s="2" t="str">
        <f>IFERROR(__xludf.DUMMYFUNCTION("""COMPUTED_VALUE"""),"1792086353001")</f>
        <v>1792086353001</v>
      </c>
      <c r="B113" s="2" t="str">
        <f>IFERROR(__xludf.DUMMYFUNCTION("""COMPUTED_VALUE"""),"COMPAÑIA DE SERVICIOS SOLIDARIOS CRUZVITAL S.A.")</f>
        <v>COMPAÑIA DE SERVICIOS SOLIDARIOS CRUZVITAL S.A.</v>
      </c>
      <c r="C113" s="2" t="str">
        <f>IFERROR(__xludf.DUMMYFUNCTION("""COMPUTED_VALUE"""),"CENTROS MEDICOS ESPECIALIZADOS CRUZ ROJA ECUATORIANA")</f>
        <v>CENTROS MEDICOS ESPECIALIZADOS CRUZ ROJA ECUATORIANA</v>
      </c>
      <c r="D113" s="2" t="str">
        <f>IFERROR(__xludf.DUMMYFUNCTION("""COMPUTED_VALUE"""),"0960689500")</f>
        <v>0960689500</v>
      </c>
    </row>
    <row r="114">
      <c r="A114" s="2" t="str">
        <f>IFERROR(__xludf.DUMMYFUNCTION("""COMPUTED_VALUE"""),"1391933070001")</f>
        <v>1391933070001</v>
      </c>
      <c r="B114" s="2" t="str">
        <f>IFERROR(__xludf.DUMMYFUNCTION("""COMPUTED_VALUE"""),"CONFIANCE S.A.S.")</f>
        <v>CONFIANCE S.A.S.</v>
      </c>
      <c r="C114" s="2" t="str">
        <f>IFERROR(__xludf.DUMMYFUNCTION("""COMPUTED_VALUE"""),"CONFIANCE S.A.S.")</f>
        <v>CONFIANCE S.A.S.</v>
      </c>
      <c r="D114" s="2" t="str">
        <f>IFERROR(__xludf.DUMMYFUNCTION("""COMPUTED_VALUE"""),"0959441364")</f>
        <v>0959441364</v>
      </c>
    </row>
    <row r="115">
      <c r="A115" s="2" t="str">
        <f>IFERROR(__xludf.DUMMYFUNCTION("""COMPUTED_VALUE"""),"1391879474001")</f>
        <v>1391879474001</v>
      </c>
      <c r="B115" s="2" t="str">
        <f>IFERROR(__xludf.DUMMYFUNCTION("""COMPUTED_VALUE"""),"CONSULTORIOS Y PARQUEADEROS SAN FRANCISCO")</f>
        <v>CONSULTORIOS Y PARQUEADEROS SAN FRANCISCO</v>
      </c>
      <c r="C115" s="2" t="str">
        <f>IFERROR(__xludf.DUMMYFUNCTION("""COMPUTED_VALUE"""),"CONSULTORIOS SAN FRANCISCO")</f>
        <v>CONSULTORIOS SAN FRANCISCO</v>
      </c>
      <c r="D115" s="2" t="str">
        <f>IFERROR(__xludf.DUMMYFUNCTION("""COMPUTED_VALUE"""),"0967781126")</f>
        <v>0967781126</v>
      </c>
    </row>
    <row r="116">
      <c r="A116" s="2" t="str">
        <f>IFERROR(__xludf.DUMMYFUNCTION("""COMPUTED_VALUE"""),"1314829308001")</f>
        <v>1314829308001</v>
      </c>
      <c r="B116" s="2" t="str">
        <f>IFERROR(__xludf.DUMMYFUNCTION("""COMPUTED_VALUE"""),"CORNEJO MENDOZA RUBEN DARIO")</f>
        <v>CORNEJO MENDOZA RUBEN DARIO</v>
      </c>
      <c r="C116" s="2" t="str">
        <f>IFERROR(__xludf.DUMMYFUNCTION("""COMPUTED_VALUE"""),"LABORATORIO CLÍNICO KROMALAB")</f>
        <v>LABORATORIO CLÍNICO KROMALAB</v>
      </c>
      <c r="D116" s="2" t="str">
        <f>IFERROR(__xludf.DUMMYFUNCTION("""COMPUTED_VALUE"""),"0963042659")</f>
        <v>0963042659</v>
      </c>
    </row>
    <row r="117">
      <c r="A117" s="2" t="str">
        <f>IFERROR(__xludf.DUMMYFUNCTION("""COMPUTED_VALUE"""),"1391924909001")</f>
        <v>1391924909001</v>
      </c>
      <c r="B117" s="2" t="str">
        <f>IFERROR(__xludf.DUMMYFUNCTION("""COMPUTED_VALUE"""),"CORPORACIÓN GISAR DE MULTISERVICIOS EN SALUD GISARCORP S.A.")</f>
        <v>CORPORACIÓN GISAR DE MULTISERVICIOS EN SALUD GISARCORP S.A.</v>
      </c>
      <c r="C117" s="2" t="str">
        <f>IFERROR(__xludf.DUMMYFUNCTION("""COMPUTED_VALUE"""),"CEMGI")</f>
        <v>CEMGI</v>
      </c>
      <c r="D117" s="2" t="str">
        <f>IFERROR(__xludf.DUMMYFUNCTION("""COMPUTED_VALUE"""),"0995100839")</f>
        <v>0995100839</v>
      </c>
    </row>
    <row r="118">
      <c r="A118" s="2" t="str">
        <f>IFERROR(__xludf.DUMMYFUNCTION("""COMPUTED_VALUE"""),"1791721063001")</f>
        <v>1791721063001</v>
      </c>
      <c r="B118" s="2" t="str">
        <f>IFERROR(__xludf.DUMMYFUNCTION("""COMPUTED_VALUE"""),"CORPORACION KIMIRINA")</f>
        <v>CORPORACION KIMIRINA</v>
      </c>
      <c r="C118" s="2" t="str">
        <f>IFERROR(__xludf.DUMMYFUNCTION("""COMPUTED_VALUE"""),"CORPORACION KIMIRINA")</f>
        <v>CORPORACION KIMIRINA</v>
      </c>
      <c r="D118" s="2" t="str">
        <f>IFERROR(__xludf.DUMMYFUNCTION("""COMPUTED_VALUE"""),"0961079264")</f>
        <v>0961079264</v>
      </c>
    </row>
    <row r="119">
      <c r="A119" s="2" t="str">
        <f>IFERROR(__xludf.DUMMYFUNCTION("""COMPUTED_VALUE"""),"1311555377001")</f>
        <v>1311555377001</v>
      </c>
      <c r="B119" s="2" t="str">
        <f>IFERROR(__xludf.DUMMYFUNCTION("""COMPUTED_VALUE"""),"CORRALES MACIAS LETTY ROSSANA")</f>
        <v>CORRALES MACIAS LETTY ROSSANA</v>
      </c>
      <c r="C119" s="2" t="str">
        <f>IFERROR(__xludf.DUMMYFUNCTION("""COMPUTED_VALUE"""),"HUELLA DENTAL")</f>
        <v>HUELLA DENTAL</v>
      </c>
      <c r="D119" s="2" t="str">
        <f>IFERROR(__xludf.DUMMYFUNCTION("""COMPUTED_VALUE"""),"0986897871")</f>
        <v>0986897871</v>
      </c>
    </row>
    <row r="120">
      <c r="A120" s="2" t="str">
        <f>IFERROR(__xludf.DUMMYFUNCTION("""COMPUTED_VALUE"""),"1705871257001")</f>
        <v>1705871257001</v>
      </c>
      <c r="B120" s="2" t="str">
        <f>IFERROR(__xludf.DUMMYFUNCTION("""COMPUTED_VALUE"""),"CUEVA MUÑOZ ELIZABETH MARGOTH")</f>
        <v>CUEVA MUÑOZ ELIZABETH MARGOTH</v>
      </c>
      <c r="C120" s="2" t="str">
        <f>IFERROR(__xludf.DUMMYFUNCTION("""COMPUTED_VALUE"""),"CENTRO OFTALMOLOGICO CUEVA VISION")</f>
        <v>CENTRO OFTALMOLOGICO CUEVA VISION</v>
      </c>
      <c r="D120" s="2" t="str">
        <f>IFERROR(__xludf.DUMMYFUNCTION("""COMPUTED_VALUE"""),"0998264417")</f>
        <v>0998264417</v>
      </c>
    </row>
    <row r="121">
      <c r="A121" s="2" t="str">
        <f>IFERROR(__xludf.DUMMYFUNCTION("""COMPUTED_VALUE"""),"1308679511001")</f>
        <v>1308679511001</v>
      </c>
      <c r="B121" s="2" t="str">
        <f>IFERROR(__xludf.DUMMYFUNCTION("""COMPUTED_VALUE"""),"CUZME PILLIGUA JESSENIA CAMILA")</f>
        <v>CUZME PILLIGUA JESSENIA CAMILA</v>
      </c>
      <c r="C121" s="2" t="str">
        <f>IFERROR(__xludf.DUMMYFUNCTION("""COMPUTED_VALUE"""),"PARADISE SPA BEAUTY")</f>
        <v>PARADISE SPA BEAUTY</v>
      </c>
      <c r="D121" s="2" t="str">
        <f>IFERROR(__xludf.DUMMYFUNCTION("""COMPUTED_VALUE"""),"0990958156")</f>
        <v>0990958156</v>
      </c>
    </row>
    <row r="122">
      <c r="A122" s="2" t="str">
        <f>IFERROR(__xludf.DUMMYFUNCTION("""COMPUTED_VALUE"""),"1313235275001")</f>
        <v>1313235275001</v>
      </c>
      <c r="B122" s="2" t="str">
        <f>IFERROR(__xludf.DUMMYFUNCTION("""COMPUTED_VALUE"""),"DELGADO ARIAS STALIN ANTONY")</f>
        <v>DELGADO ARIAS STALIN ANTONY</v>
      </c>
      <c r="C122" s="2" t="str">
        <f>IFERROR(__xludf.DUMMYFUNCTION("""COMPUTED_VALUE"""),"PET SHOP Y ASISTENCIA VETERINARIA EL BUEN DOCTOR")</f>
        <v>PET SHOP Y ASISTENCIA VETERINARIA EL BUEN DOCTOR</v>
      </c>
      <c r="D122" s="2" t="str">
        <f>IFERROR(__xludf.DUMMYFUNCTION("""COMPUTED_VALUE"""),"0989541446")</f>
        <v>0989541446</v>
      </c>
    </row>
    <row r="123">
      <c r="A123" s="2" t="str">
        <f>IFERROR(__xludf.DUMMYFUNCTION("""COMPUTED_VALUE"""),"1309549317001")</f>
        <v>1309549317001</v>
      </c>
      <c r="B123" s="2" t="str">
        <f>IFERROR(__xludf.DUMMYFUNCTION("""COMPUTED_VALUE"""),"DELGADO MANTUANO YANDRY ALEXANDER")</f>
        <v>DELGADO MANTUANO YANDRY ALEXANDER</v>
      </c>
      <c r="C123" s="2" t="str">
        <f>IFERROR(__xludf.DUMMYFUNCTION("""COMPUTED_VALUE"""),"CONSULTORIO MEDICO DR ALEXANDER DELGADO")</f>
        <v>CONSULTORIO MEDICO DR ALEXANDER DELGADO</v>
      </c>
      <c r="D123" s="2" t="str">
        <f>IFERROR(__xludf.DUMMYFUNCTION("""COMPUTED_VALUE"""),"0969367592")</f>
        <v>0969367592</v>
      </c>
    </row>
    <row r="124">
      <c r="A124" s="2" t="str">
        <f>IFERROR(__xludf.DUMMYFUNCTION("""COMPUTED_VALUE"""),"1304262064001")</f>
        <v>1304262064001</v>
      </c>
      <c r="B124" s="2" t="str">
        <f>IFERROR(__xludf.DUMMYFUNCTION("""COMPUTED_VALUE"""),"DELGADO MOLINA BETTY MERCEDES")</f>
        <v>DELGADO MOLINA BETTY MERCEDES</v>
      </c>
      <c r="C124" s="2" t="str">
        <f>IFERROR(__xludf.DUMMYFUNCTION("""COMPUTED_VALUE"""),"CLINICA MORALES")</f>
        <v>CLINICA MORALES</v>
      </c>
      <c r="D124" s="2" t="str">
        <f>IFERROR(__xludf.DUMMYFUNCTION("""COMPUTED_VALUE"""),"0987064446")</f>
        <v>0987064446</v>
      </c>
    </row>
    <row r="125">
      <c r="A125" s="2" t="str">
        <f>IFERROR(__xludf.DUMMYFUNCTION("""COMPUTED_VALUE"""),"1313258269001")</f>
        <v>1313258269001</v>
      </c>
      <c r="B125" s="2" t="str">
        <f>IFERROR(__xludf.DUMMYFUNCTION("""COMPUTED_VALUE"""),"DELGADO VERA MARIA LUISA")</f>
        <v>DELGADO VERA MARIA LUISA</v>
      </c>
      <c r="C125" s="2" t="str">
        <f>IFERROR(__xludf.DUMMYFUNCTION("""COMPUTED_VALUE"""),"CONSULTORIO DOCTORA MARÍA LUISA DELGADO")</f>
        <v>CONSULTORIO DOCTORA MARÍA LUISA DELGADO</v>
      </c>
      <c r="D125" s="2" t="str">
        <f>IFERROR(__xludf.DUMMYFUNCTION("""COMPUTED_VALUE"""),"0985929235")</f>
        <v>0985929235</v>
      </c>
    </row>
    <row r="126">
      <c r="A126" s="2" t="str">
        <f>IFERROR(__xludf.DUMMYFUNCTION("""COMPUTED_VALUE"""),"1756782114001")</f>
        <v>1756782114001</v>
      </c>
      <c r="B126" s="2" t="str">
        <f>IFERROR(__xludf.DUMMYFUNCTION("""COMPUTED_VALUE"""),"DIAZ PEREZ CARLOS ALBERTO")</f>
        <v>DIAZ PEREZ CARLOS ALBERTO</v>
      </c>
      <c r="C126" s="2" t="str">
        <f>IFERROR(__xludf.DUMMYFUNCTION("""COMPUTED_VALUE"""),"CENTRO DE ESPECIALIDADES D DÍAZ")</f>
        <v>CENTRO DE ESPECIALIDADES D DÍAZ</v>
      </c>
      <c r="D126" s="2" t="str">
        <f>IFERROR(__xludf.DUMMYFUNCTION("""COMPUTED_VALUE"""),"0962985950")</f>
        <v>0962985950</v>
      </c>
    </row>
    <row r="127">
      <c r="A127" s="2" t="str">
        <f>IFERROR(__xludf.DUMMYFUNCTION("""COMPUTED_VALUE"""),"1768054040001")</f>
        <v>1768054040001</v>
      </c>
      <c r="B127" s="2" t="str">
        <f>IFERROR(__xludf.DUMMYFUNCTION("""COMPUTED_VALUE"""),"DIRECCION NACIONAL DE ATENCION INTEGRAL EN SALUD PLANTA CENTRAL")</f>
        <v>DIRECCION NACIONAL DE ATENCION INTEGRAL EN SALUD PLANTA CENTRAL</v>
      </c>
      <c r="C127" s="2" t="str">
        <f>IFERROR(__xludf.DUMMYFUNCTION("""COMPUTED_VALUE"""),"DIRECCION NACIONAL DE ATENCION INTEGRAL EN SALUD PLANTA CENTRAL")</f>
        <v>DIRECCION NACIONAL DE ATENCION INTEGRAL EN SALUD PLANTA CENTRAL</v>
      </c>
      <c r="D127" s="2" t="str">
        <f>IFERROR(__xludf.DUMMYFUNCTION("""COMPUTED_VALUE"""),"0958871340")</f>
        <v>0958871340</v>
      </c>
    </row>
    <row r="128">
      <c r="A128" s="2" t="str">
        <f>IFERROR(__xludf.DUMMYFUNCTION("""COMPUTED_VALUE"""),"1360070840001")</f>
        <v>1360070840001</v>
      </c>
      <c r="B128" s="2" t="str">
        <f>IFERROR(__xludf.DUMMYFUNCTION("""COMPUTED_VALUE"""),"DIRECCION PROVINCIAL DE SALUD DE MANABI")</f>
        <v>DIRECCION PROVINCIAL DE SALUD DE MANABI</v>
      </c>
      <c r="C128" s="2" t="str">
        <f>IFERROR(__xludf.DUMMYFUNCTION("""COMPUTED_VALUE"""),"DIRECCION PROVINCIAL DE SALUD DE MANABI")</f>
        <v>DIRECCION PROVINCIAL DE SALUD DE MANABI</v>
      </c>
      <c r="D128" s="2" t="str">
        <f>IFERROR(__xludf.DUMMYFUNCTION("""COMPUTED_VALUE"""),"0981160561")</f>
        <v>0981160561</v>
      </c>
    </row>
    <row r="129">
      <c r="A129" s="2" t="str">
        <f>IFERROR(__xludf.DUMMYFUNCTION("""COMPUTED_VALUE"""),"1303300386001")</f>
        <v>1303300386001</v>
      </c>
      <c r="B129" s="2" t="str">
        <f>IFERROR(__xludf.DUMMYFUNCTION("""COMPUTED_VALUE"""),"DUEÑAS PORTILLA GIANNIA MARIA")</f>
        <v>DUEÑAS PORTILLA GIANNIA MARIA</v>
      </c>
      <c r="C129" s="2" t="str">
        <f>IFERROR(__xludf.DUMMYFUNCTION("""COMPUTED_VALUE"""),"SONRIA ESPECIALIDADES ODONTOLOGICAS")</f>
        <v>SONRIA ESPECIALIDADES ODONTOLOGICAS</v>
      </c>
      <c r="D129" s="2" t="str">
        <f>IFERROR(__xludf.DUMMYFUNCTION("""COMPUTED_VALUE"""),"0997799094")</f>
        <v>0997799094</v>
      </c>
    </row>
    <row r="130">
      <c r="A130" s="2" t="str">
        <f>IFERROR(__xludf.DUMMYFUNCTION("""COMPUTED_VALUE"""),"1305196634001")</f>
        <v>1305196634001</v>
      </c>
      <c r="B130" s="2" t="str">
        <f>IFERROR(__xludf.DUMMYFUNCTION("""COMPUTED_VALUE"""),"DUEÑAS PORTILLA ROSA LILIANA")</f>
        <v>DUEÑAS PORTILLA ROSA LILIANA</v>
      </c>
      <c r="C130" s="2" t="str">
        <f>IFERROR(__xludf.DUMMYFUNCTION("""COMPUTED_VALUE"""),"CONSULTORIO ODONTOLOGICO SALUD DENTAL")</f>
        <v>CONSULTORIO ODONTOLOGICO SALUD DENTAL</v>
      </c>
      <c r="D130" s="2" t="str">
        <f>IFERROR(__xludf.DUMMYFUNCTION("""COMPUTED_VALUE"""),"0997025758")</f>
        <v>0997025758</v>
      </c>
    </row>
    <row r="131">
      <c r="A131" s="2" t="str">
        <f>IFERROR(__xludf.DUMMYFUNCTION("""COMPUTED_VALUE"""),"1793218679001")</f>
        <v>1793218679001</v>
      </c>
      <c r="B131" s="2" t="str">
        <f>IFERROR(__xludf.DUMMYFUNCTION("""COMPUTED_VALUE"""),"EDUNNOVA-PROYECTOS EDUCATIVOS S.A.S.")</f>
        <v>EDUNNOVA-PROYECTOS EDUCATIVOS S.A.S.</v>
      </c>
      <c r="C131" s="2" t="str">
        <f>IFERROR(__xludf.DUMMYFUNCTION("""COMPUTED_VALUE"""),"EDUNNOVA")</f>
        <v>EDUNNOVA</v>
      </c>
      <c r="D131" s="2" t="str">
        <f>IFERROR(__xludf.DUMMYFUNCTION("""COMPUTED_VALUE"""),"0995007850")</f>
        <v>0995007850</v>
      </c>
    </row>
    <row r="132">
      <c r="A132" s="2" t="str">
        <f>IFERROR(__xludf.DUMMYFUNCTION("""COMPUTED_VALUE"""),"1792578795001")</f>
        <v>1792578795001</v>
      </c>
      <c r="B132" s="2" t="str">
        <f>IFERROR(__xludf.DUMMYFUNCTION("""COMPUTED_VALUE"""),"EMPRESA DE SALUD GROUPVID CIA LTDA")</f>
        <v>EMPRESA DE SALUD GROUPVID CIA LTDA</v>
      </c>
      <c r="C132" s="2" t="str">
        <f>IFERROR(__xludf.DUMMYFUNCTION("""COMPUTED_VALUE"""),"GROUPVID CIA LTDA")</f>
        <v>GROUPVID CIA LTDA</v>
      </c>
      <c r="D132" s="2" t="str">
        <f>IFERROR(__xludf.DUMMYFUNCTION("""COMPUTED_VALUE"""),"0984027042")</f>
        <v>0984027042</v>
      </c>
    </row>
    <row r="133">
      <c r="A133" s="2" t="str">
        <f>IFERROR(__xludf.DUMMYFUNCTION("""COMPUTED_VALUE"""),"1360065760001")</f>
        <v>1360065760001</v>
      </c>
      <c r="B133" s="2" t="str">
        <f>IFERROR(__xludf.DUMMYFUNCTION("""COMPUTED_VALUE"""),"EMPRESA PUBLICA DE INFRAESTRUCTURA Y VIALIDAD DE MANABI MANABI VIAL EP")</f>
        <v>EMPRESA PUBLICA DE INFRAESTRUCTURA Y VIALIDAD DE MANABI MANABI VIAL EP</v>
      </c>
      <c r="C133" s="2" t="str">
        <f>IFERROR(__xludf.DUMMYFUNCTION("""COMPUTED_VALUE"""),"MANABI VIAL EP")</f>
        <v>MANABI VIAL EP</v>
      </c>
      <c r="D133" s="2" t="str">
        <f>IFERROR(__xludf.DUMMYFUNCTION("""COMPUTED_VALUE"""),"0989855268")</f>
        <v>0989855268</v>
      </c>
    </row>
    <row r="134">
      <c r="A134" s="2" t="str">
        <f>IFERROR(__xludf.DUMMYFUNCTION("""COMPUTED_VALUE"""),"1391701349001")</f>
        <v>1391701349001</v>
      </c>
      <c r="B134" s="2" t="str">
        <f>IFERROR(__xludf.DUMMYFUNCTION("""COMPUTED_VALUE"""),"ENRIQUE LOOR ZAMBRANO ENLOZA CIA. LTDA.")</f>
        <v>ENRIQUE LOOR ZAMBRANO ENLOZA CIA. LTDA.</v>
      </c>
      <c r="C134" s="2" t="str">
        <f>IFERROR(__xludf.DUMMYFUNCTION("""COMPUTED_VALUE"""),"LABORATORIO ENLOZA")</f>
        <v>LABORATORIO ENLOZA</v>
      </c>
      <c r="D134" s="2" t="str">
        <f>IFERROR(__xludf.DUMMYFUNCTION("""COMPUTED_VALUE"""),"0987474672")</f>
        <v>0987474672</v>
      </c>
    </row>
    <row r="135">
      <c r="A135" s="2" t="str">
        <f>IFERROR(__xludf.DUMMYFUNCTION("""COMPUTED_VALUE"""),"1310079866001")</f>
        <v>1310079866001</v>
      </c>
      <c r="B135" s="2" t="str">
        <f>IFERROR(__xludf.DUMMYFUNCTION("""COMPUTED_VALUE"""),"ESPINEL GRANIZO ANA LUCIA")</f>
        <v>ESPINEL GRANIZO ANA LUCIA</v>
      </c>
      <c r="C135" s="2" t="str">
        <f>IFERROR(__xludf.DUMMYFUNCTION("""COMPUTED_VALUE"""),"ANA LUCÍA ESPINEL GRANIZO")</f>
        <v>ANA LUCÍA ESPINEL GRANIZO</v>
      </c>
      <c r="D135" s="2" t="str">
        <f>IFERROR(__xludf.DUMMYFUNCTION("""COMPUTED_VALUE"""),"0992851521")</f>
        <v>0992851521</v>
      </c>
    </row>
    <row r="136">
      <c r="A136" s="2" t="str">
        <f>IFERROR(__xludf.DUMMYFUNCTION("""COMPUTED_VALUE"""),"1204937955001")</f>
        <v>1204937955001</v>
      </c>
      <c r="B136" s="2" t="str">
        <f>IFERROR(__xludf.DUMMYFUNCTION("""COMPUTED_VALUE"""),"ESPINOZA ESPINOZA MARIA FERNANDA")</f>
        <v>ESPINOZA ESPINOZA MARIA FERNANDA</v>
      </c>
      <c r="C136" s="2" t="str">
        <f>IFERROR(__xludf.DUMMYFUNCTION("""COMPUTED_VALUE"""),"BALANCE")</f>
        <v>BALANCE</v>
      </c>
      <c r="D136" s="2" t="str">
        <f>IFERROR(__xludf.DUMMYFUNCTION("""COMPUTED_VALUE"""),"0995676062")</f>
        <v>0995676062</v>
      </c>
    </row>
    <row r="137">
      <c r="A137" s="2" t="str">
        <f>IFERROR(__xludf.DUMMYFUNCTION("""COMPUTED_VALUE"""),"1312020025001")</f>
        <v>1312020025001</v>
      </c>
      <c r="B137" s="2" t="str">
        <f>IFERROR(__xludf.DUMMYFUNCTION("""COMPUTED_VALUE"""),"ESPINOZA RUIZ INGRID ROSIBEL")</f>
        <v>ESPINOZA RUIZ INGRID ROSIBEL</v>
      </c>
      <c r="C137" s="2" t="str">
        <f>IFERROR(__xludf.DUMMYFUNCTION("""COMPUTED_VALUE"""),"CONSULTORIO DENTAL INGRID ESPINOZA")</f>
        <v>CONSULTORIO DENTAL INGRID ESPINOZA</v>
      </c>
      <c r="D137" s="2" t="str">
        <f>IFERROR(__xludf.DUMMYFUNCTION("""COMPUTED_VALUE"""),"0989242519")</f>
        <v>0989242519</v>
      </c>
    </row>
    <row r="138">
      <c r="A138" s="2" t="str">
        <f>IFERROR(__xludf.DUMMYFUNCTION("""COMPUTED_VALUE"""),"1310635709001")</f>
        <v>1310635709001</v>
      </c>
      <c r="B138" s="2" t="str">
        <f>IFERROR(__xludf.DUMMYFUNCTION("""COMPUTED_VALUE"""),"FABIO GUILLERMO CEVALLOS CASTRO ")</f>
        <v>FABIO GUILLERMO CEVALLOS CASTRO </v>
      </c>
      <c r="C138" s="2" t="str">
        <f>IFERROR(__xludf.DUMMYFUNCTION("""COMPUTED_VALUE"""),"ORTHOLOGY ")</f>
        <v>ORTHOLOGY </v>
      </c>
      <c r="D138" s="2" t="str">
        <f>IFERROR(__xludf.DUMMYFUNCTION("""COMPUTED_VALUE"""),"0988541855")</f>
        <v>0988541855</v>
      </c>
    </row>
    <row r="139">
      <c r="A139" s="2" t="str">
        <f>IFERROR(__xludf.DUMMYFUNCTION("""COMPUTED_VALUE"""),"1307763233001")</f>
        <v>1307763233001</v>
      </c>
      <c r="B139" s="2" t="str">
        <f>IFERROR(__xludf.DUMMYFUNCTION("""COMPUTED_VALUE"""),"FARFAN PICO NILO ANTONIO")</f>
        <v>FARFAN PICO NILO ANTONIO</v>
      </c>
      <c r="C139" s="2" t="str">
        <f>IFERROR(__xludf.DUMMYFUNCTION("""COMPUTED_VALUE"""),"CONSULTORIO MEDICO DR NILO FSRFAN")</f>
        <v>CONSULTORIO MEDICO DR NILO FSRFAN</v>
      </c>
      <c r="D139" s="2" t="str">
        <f>IFERROR(__xludf.DUMMYFUNCTION("""COMPUTED_VALUE"""),"0980709711")</f>
        <v>0980709711</v>
      </c>
    </row>
    <row r="140">
      <c r="A140" s="2" t="str">
        <f>IFERROR(__xludf.DUMMYFUNCTION("""COMPUTED_VALUE"""),"1315300358001")</f>
        <v>1315300358001</v>
      </c>
      <c r="B140" s="2" t="str">
        <f>IFERROR(__xludf.DUMMYFUNCTION("""COMPUTED_VALUE"""),"FARFAN VALDEZ ERIKA PAOLA")</f>
        <v>FARFAN VALDEZ ERIKA PAOLA</v>
      </c>
      <c r="C140" s="2" t="str">
        <f>IFERROR(__xludf.DUMMYFUNCTION("""COMPUTED_VALUE"""),"CONSULTORIO DENTAL DRA TEETH")</f>
        <v>CONSULTORIO DENTAL DRA TEETH</v>
      </c>
      <c r="D140" s="2" t="str">
        <f>IFERROR(__xludf.DUMMYFUNCTION("""COMPUTED_VALUE"""),"0967756672")</f>
        <v>0967756672</v>
      </c>
    </row>
    <row r="141">
      <c r="A141" s="2" t="str">
        <f>IFERROR(__xludf.DUMMYFUNCTION("""COMPUTED_VALUE"""),"1391934784001")</f>
        <v>1391934784001</v>
      </c>
      <c r="B141" s="2" t="str">
        <f>IFERROR(__xludf.DUMMYFUNCTION("""COMPUTED_VALUE"""),"FENMED S.A.S.")</f>
        <v>FENMED S.A.S.</v>
      </c>
      <c r="C141" s="2" t="str">
        <f>IFERROR(__xludf.DUMMYFUNCTION("""COMPUTED_VALUE"""),"CENTRO MÉDICO FENMED SAS CRISED")</f>
        <v>CENTRO MÉDICO FENMED SAS CRISED</v>
      </c>
      <c r="D141" s="2" t="str">
        <f>IFERROR(__xludf.DUMMYFUNCTION("""COMPUTED_VALUE"""),"0999696262")</f>
        <v>0999696262</v>
      </c>
    </row>
    <row r="142">
      <c r="A142" s="2" t="str">
        <f>IFERROR(__xludf.DUMMYFUNCTION("""COMPUTED_VALUE"""),"1309996500001")</f>
        <v>1309996500001</v>
      </c>
      <c r="B142" s="2" t="str">
        <f>IFERROR(__xludf.DUMMYFUNCTION("""COMPUTED_VALUE"""),"FERNANDEZ BOWEN MARTHA JESSENIA")</f>
        <v>FERNANDEZ BOWEN MARTHA JESSENIA</v>
      </c>
      <c r="C142" s="2" t="str">
        <f>IFERROR(__xludf.DUMMYFUNCTION("""COMPUTED_VALUE"""),"NUTRI MEIN NUTRICION Y METABOLISMO")</f>
        <v>NUTRI MEIN NUTRICION Y METABOLISMO</v>
      </c>
      <c r="D142" s="2" t="str">
        <f>IFERROR(__xludf.DUMMYFUNCTION("""COMPUTED_VALUE"""),"0994425238")</f>
        <v>0994425238</v>
      </c>
    </row>
    <row r="143">
      <c r="A143" s="2" t="str">
        <f>IFERROR(__xludf.DUMMYFUNCTION("""COMPUTED_VALUE"""),"1310090178001")</f>
        <v>1310090178001</v>
      </c>
      <c r="B143" s="2" t="str">
        <f>IFERROR(__xludf.DUMMYFUNCTION("""COMPUTED_VALUE"""),"FERNANDEZ VELEZ ELDA GABRIELA")</f>
        <v>FERNANDEZ VELEZ ELDA GABRIELA</v>
      </c>
      <c r="C143" s="2" t="str">
        <f>IFERROR(__xludf.DUMMYFUNCTION("""COMPUTED_VALUE"""),"CONSULTORIO M DRA GABRIELA FERNÁNDEZ")</f>
        <v>CONSULTORIO M DRA GABRIELA FERNÁNDEZ</v>
      </c>
      <c r="D143" s="2" t="str">
        <f>IFERROR(__xludf.DUMMYFUNCTION("""COMPUTED_VALUE"""),"0992912688")</f>
        <v>0992912688</v>
      </c>
    </row>
    <row r="144">
      <c r="A144" s="2" t="str">
        <f>IFERROR(__xludf.DUMMYFUNCTION("""COMPUTED_VALUE"""),"1311978652001")</f>
        <v>1311978652001</v>
      </c>
      <c r="B144" s="2" t="str">
        <f>IFERROR(__xludf.DUMMYFUNCTION("""COMPUTED_VALUE"""),"FLOR PLUA ANGELO RENE")</f>
        <v>FLOR PLUA ANGELO RENE</v>
      </c>
      <c r="C144" s="2" t="str">
        <f>IFERROR(__xludf.DUMMYFUNCTION("""COMPUTED_VALUE"""),"UNILAB LOOR")</f>
        <v>UNILAB LOOR</v>
      </c>
      <c r="D144" s="2" t="str">
        <f>IFERROR(__xludf.DUMMYFUNCTION("""COMPUTED_VALUE"""),"0978835728")</f>
        <v>0978835728</v>
      </c>
    </row>
    <row r="145">
      <c r="A145" s="2" t="str">
        <f>IFERROR(__xludf.DUMMYFUNCTION("""COMPUTED_VALUE"""),"1350064158001")</f>
        <v>1350064158001</v>
      </c>
      <c r="B145" s="2" t="str">
        <f>IFERROR(__xludf.DUMMYFUNCTION("""COMPUTED_VALUE"""),"FLORES BONILLA SUSANA JOSSELYN")</f>
        <v>FLORES BONILLA SUSANA JOSSELYN</v>
      </c>
      <c r="C145" s="2" t="str">
        <f>IFERROR(__xludf.DUMMYFUNCTION("""COMPUTED_VALUE"""),"CONSULTORIO ORTHOMED")</f>
        <v>CONSULTORIO ORTHOMED</v>
      </c>
      <c r="D145" s="2" t="str">
        <f>IFERROR(__xludf.DUMMYFUNCTION("""COMPUTED_VALUE"""),"0983814038")</f>
        <v>0983814038</v>
      </c>
    </row>
    <row r="146">
      <c r="A146" s="2" t="str">
        <f>IFERROR(__xludf.DUMMYFUNCTION("""COMPUTED_VALUE"""),"1391857454001")</f>
        <v>1391857454001</v>
      </c>
      <c r="B146" s="2" t="str">
        <f>IFERROR(__xludf.DUMMYFUNCTION("""COMPUTED_VALUE"""),"FUNDACION CENTRO DE APOYO Y SOLIDARIDAD C.A.S. ALIANZA")</f>
        <v>FUNDACION CENTRO DE APOYO Y SOLIDARIDAD C.A.S. ALIANZA</v>
      </c>
      <c r="C146" s="2" t="str">
        <f>IFERROR(__xludf.DUMMYFUNCTION("""COMPUTED_VALUE"""),"FUNDACION CAS ALIANZA")</f>
        <v>FUNDACION CAS ALIANZA</v>
      </c>
      <c r="D146" s="2" t="str">
        <f>IFERROR(__xludf.DUMMYFUNCTION("""COMPUTED_VALUE"""),"0986526167")</f>
        <v>0986526167</v>
      </c>
    </row>
    <row r="147">
      <c r="A147" s="2" t="str">
        <f>IFERROR(__xludf.DUMMYFUNCTION("""COMPUTED_VALUE"""),"1390135072001")</f>
        <v>1390135072001</v>
      </c>
      <c r="B147" s="2" t="str">
        <f>IFERROR(__xludf.DUMMYFUNCTION("""COMPUTED_VALUE"""),"FUNDACION DR. OSWALDO LOOR MOREIRA")</f>
        <v>FUNDACION DR. OSWALDO LOOR MOREIRA</v>
      </c>
      <c r="C147" s="2" t="str">
        <f>IFERROR(__xludf.DUMMYFUNCTION("""COMPUTED_VALUE"""),"FUNDACION DR OSWALDO LOOR MOREIRA")</f>
        <v>FUNDACION DR OSWALDO LOOR MOREIRA</v>
      </c>
      <c r="D147" s="2" t="str">
        <f>IFERROR(__xludf.DUMMYFUNCTION("""COMPUTED_VALUE"""),"0987594881")</f>
        <v>0987594881</v>
      </c>
    </row>
    <row r="148">
      <c r="A148" s="2" t="str">
        <f>IFERROR(__xludf.DUMMYFUNCTION("""COMPUTED_VALUE"""),"1391751753001")</f>
        <v>1391751753001</v>
      </c>
      <c r="B148" s="2" t="str">
        <f>IFERROR(__xludf.DUMMYFUNCTION("""COMPUTED_VALUE"""),"FUNDACION EL BUEN SAMARITANO")</f>
        <v>FUNDACION EL BUEN SAMARITANO</v>
      </c>
      <c r="C148" s="2" t="str">
        <f>IFERROR(__xludf.DUMMYFUNCTION("""COMPUTED_VALUE"""),"FUNDACION EL BUEN SAMARITANO")</f>
        <v>FUNDACION EL BUEN SAMARITANO</v>
      </c>
      <c r="D148" s="2" t="str">
        <f>IFERROR(__xludf.DUMMYFUNCTION("""COMPUTED_VALUE"""),"0968753638")</f>
        <v>0968753638</v>
      </c>
    </row>
    <row r="149">
      <c r="A149" s="2" t="str">
        <f>IFERROR(__xludf.DUMMYFUNCTION("""COMPUTED_VALUE"""),"1391788231001")</f>
        <v>1391788231001</v>
      </c>
      <c r="B149" s="2" t="str">
        <f>IFERROR(__xludf.DUMMYFUNCTION("""COMPUTED_VALUE"""),"FUNDACION LA VIDA")</f>
        <v>FUNDACION LA VIDA</v>
      </c>
      <c r="C149" s="2" t="str">
        <f>IFERROR(__xludf.DUMMYFUNCTION("""COMPUTED_VALUE"""),"FUNDACION LA VIDA")</f>
        <v>FUNDACION LA VIDA</v>
      </c>
      <c r="D149" s="2" t="str">
        <f>IFERROR(__xludf.DUMMYFUNCTION("""COMPUTED_VALUE"""),"0981923546")</f>
        <v>0981923546</v>
      </c>
    </row>
    <row r="150">
      <c r="A150" s="2" t="str">
        <f>IFERROR(__xludf.DUMMYFUNCTION("""COMPUTED_VALUE"""),"1391719779001")</f>
        <v>1391719779001</v>
      </c>
      <c r="B150" s="2" t="str">
        <f>IFERROR(__xludf.DUMMYFUNCTION("""COMPUTED_VALUE"""),"FUNDACION SOCIAL CRISTO REY")</f>
        <v>FUNDACION SOCIAL CRISTO REY</v>
      </c>
      <c r="C150" s="2" t="str">
        <f>IFERROR(__xludf.DUMMYFUNCTION("""COMPUTED_VALUE"""),"CENTRO MÉDICO CRISTO REY")</f>
        <v>CENTRO MÉDICO CRISTO REY</v>
      </c>
      <c r="D150" s="2" t="str">
        <f>IFERROR(__xludf.DUMMYFUNCTION("""COMPUTED_VALUE"""),"0967404153")</f>
        <v>0967404153</v>
      </c>
    </row>
    <row r="151">
      <c r="A151" s="2" t="str">
        <f>IFERROR(__xludf.DUMMYFUNCTION("""COMPUTED_VALUE"""),"1308304474001")</f>
        <v>1308304474001</v>
      </c>
      <c r="B151" s="2" t="str">
        <f>IFERROR(__xludf.DUMMYFUNCTION("""COMPUTED_VALUE"""),"GALLARDO ARMIJOS DIANA INES")</f>
        <v>GALLARDO ARMIJOS DIANA INES</v>
      </c>
      <c r="C151" s="2" t="str">
        <f>IFERROR(__xludf.DUMMYFUNCTION("""COMPUTED_VALUE"""),"UNIDAD DE DIAGNÓSTICO VETERINARIO")</f>
        <v>UNIDAD DE DIAGNÓSTICO VETERINARIO</v>
      </c>
      <c r="D151" s="2" t="str">
        <f>IFERROR(__xludf.DUMMYFUNCTION("""COMPUTED_VALUE"""),"0979318026")</f>
        <v>0979318026</v>
      </c>
    </row>
    <row r="152">
      <c r="A152" s="2" t="str">
        <f>IFERROR(__xludf.DUMMYFUNCTION("""COMPUTED_VALUE"""),"1314285758001")</f>
        <v>1314285758001</v>
      </c>
      <c r="B152" s="2" t="str">
        <f>IFERROR(__xludf.DUMMYFUNCTION("""COMPUTED_VALUE"""),"GANCHOZO BERMELLO LADY VANESSA")</f>
        <v>GANCHOZO BERMELLO LADY VANESSA</v>
      </c>
      <c r="C152" s="2" t="str">
        <f>IFERROR(__xludf.DUMMYFUNCTION("""COMPUTED_VALUE"""),"LABORATORIO CLINICO SAN JOSE")</f>
        <v>LABORATORIO CLINICO SAN JOSE</v>
      </c>
      <c r="D152" s="2" t="str">
        <f>IFERROR(__xludf.DUMMYFUNCTION("""COMPUTED_VALUE"""),"0987481886")</f>
        <v>0987481886</v>
      </c>
    </row>
    <row r="153">
      <c r="A153" s="2" t="str">
        <f>IFERROR(__xludf.DUMMYFUNCTION("""COMPUTED_VALUE"""),"1309889887001")</f>
        <v>1309889887001</v>
      </c>
      <c r="B153" s="2" t="str">
        <f>IFERROR(__xludf.DUMMYFUNCTION("""COMPUTED_VALUE"""),"GANCHOZO VILLAVICENCIO MARIA ELENA")</f>
        <v>GANCHOZO VILLAVICENCIO MARIA ELENA</v>
      </c>
      <c r="C153" s="2" t="str">
        <f>IFERROR(__xludf.DUMMYFUNCTION("""COMPUTED_VALUE"""),"TORRE MÉDICA SAN ANTONIO CONSULTORIO 10 PB")</f>
        <v>TORRE MÉDICA SAN ANTONIO CONSULTORIO 10 PB</v>
      </c>
      <c r="D153" s="2" t="str">
        <f>IFERROR(__xludf.DUMMYFUNCTION("""COMPUTED_VALUE"""),"0968389163")</f>
        <v>0968389163</v>
      </c>
    </row>
    <row r="154">
      <c r="A154" s="2" t="str">
        <f>IFERROR(__xludf.DUMMYFUNCTION("""COMPUTED_VALUE"""),"1308725470001")</f>
        <v>1308725470001</v>
      </c>
      <c r="B154" s="2" t="str">
        <f>IFERROR(__xludf.DUMMYFUNCTION("""COMPUTED_VALUE"""),"GARCIA ALVARADO DAVID GABRIEL")</f>
        <v>GARCIA ALVARADO DAVID GABRIEL</v>
      </c>
      <c r="C154" s="2" t="str">
        <f>IFERROR(__xludf.DUMMYFUNCTION("""COMPUTED_VALUE"""),"CENTRO RADIOLÓGICO DENTAL D G")</f>
        <v>CENTRO RADIOLÓGICO DENTAL D G</v>
      </c>
      <c r="D154" s="2" t="str">
        <f>IFERROR(__xludf.DUMMYFUNCTION("""COMPUTED_VALUE"""),"0967031369")</f>
        <v>0967031369</v>
      </c>
    </row>
    <row r="155">
      <c r="A155" s="2" t="str">
        <f>IFERROR(__xludf.DUMMYFUNCTION("""COMPUTED_VALUE"""),"1314041482001")</f>
        <v>1314041482001</v>
      </c>
      <c r="B155" s="2" t="str">
        <f>IFERROR(__xludf.DUMMYFUNCTION("""COMPUTED_VALUE"""),"GARCIA ARTEAGA KARLA SOFIA")</f>
        <v>GARCIA ARTEAGA KARLA SOFIA</v>
      </c>
      <c r="C155" s="2" t="str">
        <f>IFERROR(__xludf.DUMMYFUNCTION("""COMPUTED_VALUE"""),"CONSULTA ODONTOLOGICA ESPECIALIZADA KARLA S GARCÍA A")</f>
        <v>CONSULTA ODONTOLOGICA ESPECIALIZADA KARLA S GARCÍA A</v>
      </c>
      <c r="D155" s="2" t="str">
        <f>IFERROR(__xludf.DUMMYFUNCTION("""COMPUTED_VALUE"""),"0987166862")</f>
        <v>0987166862</v>
      </c>
    </row>
    <row r="156">
      <c r="A156" s="2" t="str">
        <f>IFERROR(__xludf.DUMMYFUNCTION("""COMPUTED_VALUE"""),"1309121380001")</f>
        <v>1309121380001</v>
      </c>
      <c r="B156" s="2" t="str">
        <f>IFERROR(__xludf.DUMMYFUNCTION("""COMPUTED_VALUE"""),"GARCIA CEDEÑO MAYRA YANINA")</f>
        <v>GARCIA CEDEÑO MAYRA YANINA</v>
      </c>
      <c r="C156" s="2" t="str">
        <f>IFERROR(__xludf.DUMMYFUNCTION("""COMPUTED_VALUE"""),"DENTAL CENTER")</f>
        <v>DENTAL CENTER</v>
      </c>
      <c r="D156" s="2" t="str">
        <f>IFERROR(__xludf.DUMMYFUNCTION("""COMPUTED_VALUE"""),"0986623290")</f>
        <v>0986623290</v>
      </c>
    </row>
    <row r="157">
      <c r="A157" s="2" t="str">
        <f>IFERROR(__xludf.DUMMYFUNCTION("""COMPUTED_VALUE"""),"1306079722001")</f>
        <v>1306079722001</v>
      </c>
      <c r="B157" s="2" t="str">
        <f>IFERROR(__xludf.DUMMYFUNCTION("""COMPUTED_VALUE"""),"GARCIA CEVALLOS NUVIA MERCEDES")</f>
        <v>GARCIA CEVALLOS NUVIA MERCEDES</v>
      </c>
      <c r="C157" s="2" t="str">
        <f>IFERROR(__xludf.DUMMYFUNCTION("""COMPUTED_VALUE"""),"CAINICOMPUT CURSO DE ENFERMERIA")</f>
        <v>CAINICOMPUT CURSO DE ENFERMERIA</v>
      </c>
      <c r="D157" s="2" t="str">
        <f>IFERROR(__xludf.DUMMYFUNCTION("""COMPUTED_VALUE"""),"0982679526")</f>
        <v>0982679526</v>
      </c>
    </row>
    <row r="158">
      <c r="A158" s="2" t="str">
        <f>IFERROR(__xludf.DUMMYFUNCTION("""COMPUTED_VALUE"""),"1315508158001")</f>
        <v>1315508158001</v>
      </c>
      <c r="B158" s="2" t="str">
        <f>IFERROR(__xludf.DUMMYFUNCTION("""COMPUTED_VALUE"""),"GARCIA CEVALLOS XAVIER ALEXANDER")</f>
        <v>GARCIA CEVALLOS XAVIER ALEXANDER</v>
      </c>
      <c r="C158" s="2" t="str">
        <f>IFERROR(__xludf.DUMMYFUNCTION("""COMPUTED_VALUE"""),"SALUD ORAL")</f>
        <v>SALUD ORAL</v>
      </c>
      <c r="D158" s="2" t="str">
        <f>IFERROR(__xludf.DUMMYFUNCTION("""COMPUTED_VALUE"""),"0969169517")</f>
        <v>0969169517</v>
      </c>
    </row>
    <row r="159">
      <c r="A159" s="2" t="str">
        <f>IFERROR(__xludf.DUMMYFUNCTION("""COMPUTED_VALUE"""),"1312619354001")</f>
        <v>1312619354001</v>
      </c>
      <c r="B159" s="2" t="str">
        <f>IFERROR(__xludf.DUMMYFUNCTION("""COMPUTED_VALUE"""),"GARCIA GARCIA MELIDA MICHELLE")</f>
        <v>GARCIA GARCIA MELIDA MICHELLE</v>
      </c>
      <c r="C159" s="2" t="str">
        <f>IFERROR(__xludf.DUMMYFUNCTION("""COMPUTED_VALUE"""),"CONSULTORIO DENTAL DRA GARCÍA")</f>
        <v>CONSULTORIO DENTAL DRA GARCÍA</v>
      </c>
      <c r="D159" s="2" t="str">
        <f>IFERROR(__xludf.DUMMYFUNCTION("""COMPUTED_VALUE"""),"0959745055")</f>
        <v>0959745055</v>
      </c>
    </row>
    <row r="160">
      <c r="A160" s="2" t="str">
        <f>IFERROR(__xludf.DUMMYFUNCTION("""COMPUTED_VALUE"""),"1309567947001")</f>
        <v>1309567947001</v>
      </c>
      <c r="B160" s="2" t="str">
        <f>IFERROR(__xludf.DUMMYFUNCTION("""COMPUTED_VALUE"""),"GARCIA ITURRALDE MARIA GABRIELA")</f>
        <v>GARCIA ITURRALDE MARIA GABRIELA</v>
      </c>
      <c r="C160" s="2" t="str">
        <f>IFERROR(__xludf.DUMMYFUNCTION("""COMPUTED_VALUE"""),"CONSULTORIO ODONTOLOGICO")</f>
        <v>CONSULTORIO ODONTOLOGICO</v>
      </c>
      <c r="D160" s="2" t="str">
        <f>IFERROR(__xludf.DUMMYFUNCTION("""COMPUTED_VALUE"""),"0993240221")</f>
        <v>0993240221</v>
      </c>
    </row>
    <row r="161">
      <c r="A161" s="2" t="str">
        <f>IFERROR(__xludf.DUMMYFUNCTION("""COMPUTED_VALUE"""),"1310074800001")</f>
        <v>1310074800001</v>
      </c>
      <c r="B161" s="2" t="str">
        <f>IFERROR(__xludf.DUMMYFUNCTION("""COMPUTED_VALUE"""),"GARCIA LOOR ANA MARIA")</f>
        <v>GARCIA LOOR ANA MARIA</v>
      </c>
      <c r="C161" s="2" t="str">
        <f>IFERROR(__xludf.DUMMYFUNCTION("""COMPUTED_VALUE"""),"G DENTAL")</f>
        <v>G DENTAL</v>
      </c>
      <c r="D161" s="2" t="str">
        <f>IFERROR(__xludf.DUMMYFUNCTION("""COMPUTED_VALUE"""),"0992263346")</f>
        <v>0992263346</v>
      </c>
    </row>
    <row r="162">
      <c r="A162" s="2" t="str">
        <f>IFERROR(__xludf.DUMMYFUNCTION("""COMPUTED_VALUE"""),"1310446545001")</f>
        <v>1310446545001</v>
      </c>
      <c r="B162" s="2" t="str">
        <f>IFERROR(__xludf.DUMMYFUNCTION("""COMPUTED_VALUE"""),"GARCIA MEDINA EMILIA CRISTINA")</f>
        <v>GARCIA MEDINA EMILIA CRISTINA</v>
      </c>
      <c r="C162" s="2" t="str">
        <f>IFERROR(__xludf.DUMMYFUNCTION("""COMPUTED_VALUE"""),"EMILIA GARCIA MEDINA")</f>
        <v>EMILIA GARCIA MEDINA</v>
      </c>
      <c r="D162" s="2" t="str">
        <f>IFERROR(__xludf.DUMMYFUNCTION("""COMPUTED_VALUE"""),"0968656259")</f>
        <v>0968656259</v>
      </c>
    </row>
    <row r="163">
      <c r="A163" s="2" t="str">
        <f>IFERROR(__xludf.DUMMYFUNCTION("""COMPUTED_VALUE"""),"1313186577001")</f>
        <v>1313186577001</v>
      </c>
      <c r="B163" s="2" t="str">
        <f>IFERROR(__xludf.DUMMYFUNCTION("""COMPUTED_VALUE"""),"GARCIA PARRALES EBERT XAVIER")</f>
        <v>GARCIA PARRALES EBERT XAVIER</v>
      </c>
      <c r="C163" s="2" t="str">
        <f>IFERROR(__xludf.DUMMYFUNCTION("""COMPUTED_VALUE"""),"CENTRO ODONTOLOGICO PARDENTAL")</f>
        <v>CENTRO ODONTOLOGICO PARDENTAL</v>
      </c>
      <c r="D163" s="2" t="str">
        <f>IFERROR(__xludf.DUMMYFUNCTION("""COMPUTED_VALUE"""),"0985796597")</f>
        <v>0985796597</v>
      </c>
    </row>
    <row r="164">
      <c r="A164" s="2" t="str">
        <f>IFERROR(__xludf.DUMMYFUNCTION("""COMPUTED_VALUE"""),"1305527887001")</f>
        <v>1305527887001</v>
      </c>
      <c r="B164" s="2" t="str">
        <f>IFERROR(__xludf.DUMMYFUNCTION("""COMPUTED_VALUE"""),"GARCIA SALTOS CARLOS ALFONSO")</f>
        <v>GARCIA SALTOS CARLOS ALFONSO</v>
      </c>
      <c r="C164" s="2" t="str">
        <f>IFERROR(__xludf.DUMMYFUNCTION("""COMPUTED_VALUE"""),"CLINICA GARCIA")</f>
        <v>CLINICA GARCIA</v>
      </c>
      <c r="D164" s="2" t="str">
        <f>IFERROR(__xludf.DUMMYFUNCTION("""COMPUTED_VALUE"""),"0994482776")</f>
        <v>0994482776</v>
      </c>
    </row>
    <row r="165">
      <c r="A165" s="2" t="str">
        <f>IFERROR(__xludf.DUMMYFUNCTION("""COMPUTED_VALUE"""),"1304072521001")</f>
        <v>1304072521001</v>
      </c>
      <c r="B165" s="2" t="str">
        <f>IFERROR(__xludf.DUMMYFUNCTION("""COMPUTED_VALUE"""),"GARCIA SALTOS JOSE IGNACIO")</f>
        <v>GARCIA SALTOS JOSE IGNACIO</v>
      </c>
      <c r="C165" s="2" t="str">
        <f>IFERROR(__xludf.DUMMYFUNCTION("""COMPUTED_VALUE"""),"CLÍNICA VIRGEN DE GUADALUPE")</f>
        <v>CLÍNICA VIRGEN DE GUADALUPE</v>
      </c>
      <c r="D165" s="2" t="str">
        <f>IFERROR(__xludf.DUMMYFUNCTION("""COMPUTED_VALUE"""),"0994540563")</f>
        <v>0994540563</v>
      </c>
    </row>
    <row r="166">
      <c r="A166" s="2" t="str">
        <f>IFERROR(__xludf.DUMMYFUNCTION("""COMPUTED_VALUE"""),"1309289922001")</f>
        <v>1309289922001</v>
      </c>
      <c r="B166" s="2" t="str">
        <f>IFERROR(__xludf.DUMMYFUNCTION("""COMPUTED_VALUE"""),"GARCIA TERAN KERLY LUCIA")</f>
        <v>GARCIA TERAN KERLY LUCIA</v>
      </c>
      <c r="C166" s="2" t="str">
        <f>IFERROR(__xludf.DUMMYFUNCTION("""COMPUTED_VALUE"""),"CENTRO MEDICO Y QUIROPRACTICO CMQ")</f>
        <v>CENTRO MEDICO Y QUIROPRACTICO CMQ</v>
      </c>
      <c r="D166" s="2" t="str">
        <f>IFERROR(__xludf.DUMMYFUNCTION("""COMPUTED_VALUE"""),"0991824535")</f>
        <v>0991824535</v>
      </c>
    </row>
    <row r="167">
      <c r="A167" s="2" t="str">
        <f>IFERROR(__xludf.DUMMYFUNCTION("""COMPUTED_VALUE"""),"1311398950001")</f>
        <v>1311398950001</v>
      </c>
      <c r="B167" s="2" t="str">
        <f>IFERROR(__xludf.DUMMYFUNCTION("""COMPUTED_VALUE"""),"GARRETTY POGGI MICHELLE")</f>
        <v>GARRETTY POGGI MICHELLE</v>
      </c>
      <c r="C167" s="2" t="str">
        <f>IFERROR(__xludf.DUMMYFUNCTION("""COMPUTED_VALUE"""),"CONSULTORIO DE ESPECIALIDAD FLEBOSTETIC")</f>
        <v>CONSULTORIO DE ESPECIALIDAD FLEBOSTETIC</v>
      </c>
      <c r="D167" s="2" t="str">
        <f>IFERROR(__xludf.DUMMYFUNCTION("""COMPUTED_VALUE"""),"0995211529")</f>
        <v>0995211529</v>
      </c>
    </row>
    <row r="168">
      <c r="A168" s="2" t="str">
        <f>IFERROR(__xludf.DUMMYFUNCTION("""COMPUTED_VALUE"""),"1313500751001")</f>
        <v>1313500751001</v>
      </c>
      <c r="B168" s="2" t="str">
        <f>IFERROR(__xludf.DUMMYFUNCTION("""COMPUTED_VALUE"""),"GEMA DEYDAMIA MACÍAS MERA ")</f>
        <v>GEMA DEYDAMIA MACÍAS MERA </v>
      </c>
      <c r="C168" s="2" t="str">
        <f>IFERROR(__xludf.DUMMYFUNCTION("""COMPUTED_VALUE"""),"ODONTOSTETIC")</f>
        <v>ODONTOSTETIC</v>
      </c>
      <c r="D168" s="2" t="str">
        <f>IFERROR(__xludf.DUMMYFUNCTION("""COMPUTED_VALUE"""),"0983814781")</f>
        <v>0983814781</v>
      </c>
    </row>
    <row r="169">
      <c r="A169" s="2" t="str">
        <f>IFERROR(__xludf.DUMMYFUNCTION("""COMPUTED_VALUE"""),"1313235499001")</f>
        <v>1313235499001</v>
      </c>
      <c r="B169" s="2" t="str">
        <f>IFERROR(__xludf.DUMMYFUNCTION("""COMPUTED_VALUE"""),"GILER RODRIGUEZ GEOVANNY ANDRES")</f>
        <v>GILER RODRIGUEZ GEOVANNY ANDRES</v>
      </c>
      <c r="C169" s="2" t="str">
        <f>IFERROR(__xludf.DUMMYFUNCTION("""COMPUTED_VALUE"""),"CONSULTORIO ODONTOLOGICO IA. DENTAL")</f>
        <v>CONSULTORIO ODONTOLOGICO IA. DENTAL</v>
      </c>
      <c r="D169" s="2" t="str">
        <f>IFERROR(__xludf.DUMMYFUNCTION("""COMPUTED_VALUE"""),"0939106015")</f>
        <v>0939106015</v>
      </c>
    </row>
    <row r="170">
      <c r="A170" s="2" t="str">
        <f>IFERROR(__xludf.DUMMYFUNCTION("""COMPUTED_VALUE"""),"1313129536001")</f>
        <v>1313129536001</v>
      </c>
      <c r="B170" s="2" t="str">
        <f>IFERROR(__xludf.DUMMYFUNCTION("""COMPUTED_VALUE"""),"GILER SANTISTEVAN IVONNE GUADALUPE")</f>
        <v>GILER SANTISTEVAN IVONNE GUADALUPE</v>
      </c>
      <c r="C170" s="2" t="str">
        <f>IFERROR(__xludf.DUMMYFUNCTION("""COMPUTED_VALUE"""),"GILER SANTISTEVAN IVONNE GUADALUPE")</f>
        <v>GILER SANTISTEVAN IVONNE GUADALUPE</v>
      </c>
      <c r="D170" s="2" t="str">
        <f>IFERROR(__xludf.DUMMYFUNCTION("""COMPUTED_VALUE"""),"0985546666")</f>
        <v>0985546666</v>
      </c>
    </row>
    <row r="171">
      <c r="A171" s="2" t="str">
        <f>IFERROR(__xludf.DUMMYFUNCTION("""COMPUTED_VALUE"""),"1391792263001")</f>
        <v>1391792263001</v>
      </c>
      <c r="B171" s="2" t="str">
        <f>IFERROR(__xludf.DUMMYFUNCTION("""COMPUTED_VALUE"""),"GINE&amp;ASOCIADOS S.A.")</f>
        <v>GINE&amp;ASOCIADOS S.A.</v>
      </c>
      <c r="C171" s="2" t="str">
        <f>IFERROR(__xludf.DUMMYFUNCTION("""COMPUTED_VALUE"""),"LABORATORIO GINE Y ASOCIADOS")</f>
        <v>LABORATORIO GINE Y ASOCIADOS</v>
      </c>
      <c r="D171" s="2" t="str">
        <f>IFERROR(__xludf.DUMMYFUNCTION("""COMPUTED_VALUE"""),"0992611046")</f>
        <v>0992611046</v>
      </c>
    </row>
    <row r="172">
      <c r="A172" s="2" t="str">
        <f>IFERROR(__xludf.DUMMYFUNCTION("""COMPUTED_VALUE"""),"1312321977001")</f>
        <v>1312321977001</v>
      </c>
      <c r="B172" s="2" t="str">
        <f>IFERROR(__xludf.DUMMYFUNCTION("""COMPUTED_VALUE"""),"GINES PALMA ELIANA NATALY")</f>
        <v>GINES PALMA ELIANA NATALY</v>
      </c>
      <c r="C172" s="2" t="str">
        <f>IFERROR(__xludf.DUMMYFUNCTION("""COMPUTED_VALUE"""),"CONSULTORIO ESTÉTICO DENTAL DRA ELIANA GINES")</f>
        <v>CONSULTORIO ESTÉTICO DENTAL DRA ELIANA GINES</v>
      </c>
      <c r="D172" s="2" t="str">
        <f>IFERROR(__xludf.DUMMYFUNCTION("""COMPUTED_VALUE"""),"0987212940")</f>
        <v>0987212940</v>
      </c>
    </row>
    <row r="173">
      <c r="A173" s="2" t="str">
        <f>IFERROR(__xludf.DUMMYFUNCTION("""COMPUTED_VALUE"""),"0909050197001")</f>
        <v>0909050197001</v>
      </c>
      <c r="B173" s="2" t="str">
        <f>IFERROR(__xludf.DUMMYFUNCTION("""COMPUTED_VALUE"""),"GIRON VILLACIS ODALIA CECIBEL")</f>
        <v>GIRON VILLACIS ODALIA CECIBEL</v>
      </c>
      <c r="C173" s="2" t="str">
        <f>IFERROR(__xludf.DUMMYFUNCTION("""COMPUTED_VALUE"""),"CONSULTORIO MEDICO ODALIA GIRON")</f>
        <v>CONSULTORIO MEDICO ODALIA GIRON</v>
      </c>
      <c r="D173" s="2" t="str">
        <f>IFERROR(__xludf.DUMMYFUNCTION("""COMPUTED_VALUE"""),"0987832360")</f>
        <v>0987832360</v>
      </c>
    </row>
    <row r="174">
      <c r="A174" s="2" t="str">
        <f>IFERROR(__xludf.DUMMYFUNCTION("""COMPUTED_VALUE"""),"0993233951001")</f>
        <v>0993233951001</v>
      </c>
      <c r="B174" s="2" t="str">
        <f>IFERROR(__xludf.DUMMYFUNCTION("""COMPUTED_VALUE"""),"GLOBAL MEDIC MEDICGLO S.A.")</f>
        <v>GLOBAL MEDIC MEDICGLO S.A.</v>
      </c>
      <c r="C174" s="2" t="str">
        <f>IFERROR(__xludf.DUMMYFUNCTION("""COMPUTED_VALUE"""),"PORTOSALUD")</f>
        <v>PORTOSALUD</v>
      </c>
      <c r="D174" s="2" t="str">
        <f>IFERROR(__xludf.DUMMYFUNCTION("""COMPUTED_VALUE"""),"0984244234")</f>
        <v>0984244234</v>
      </c>
    </row>
    <row r="175">
      <c r="A175" s="2" t="str">
        <f>IFERROR(__xludf.DUMMYFUNCTION("""COMPUTED_VALUE"""),"1360000200001")</f>
        <v>1360000200001</v>
      </c>
      <c r="B175" s="2" t="str">
        <f>IFERROR(__xludf.DUMMYFUNCTION("""COMPUTED_VALUE"""),"GOBIERNO AUTONOMO DESCENTRALIZADO MUNICIPAL DEL CANTON PORTOVIEJO")</f>
        <v>GOBIERNO AUTONOMO DESCENTRALIZADO MUNICIPAL DEL CANTON PORTOVIEJO</v>
      </c>
      <c r="C175" s="2" t="str">
        <f>IFERROR(__xludf.DUMMYFUNCTION("""COMPUTED_VALUE"""),"COORDINACIÓN DE SEGURIDAD Y SALUD OCUPACIONAL")</f>
        <v>COORDINACIÓN DE SEGURIDAD Y SALUD OCUPACIONAL</v>
      </c>
      <c r="D175" s="2" t="str">
        <f>IFERROR(__xludf.DUMMYFUNCTION("""COMPUTED_VALUE"""),"0959802564")</f>
        <v>0959802564</v>
      </c>
    </row>
    <row r="176">
      <c r="A176" s="2" t="str">
        <f>IFERROR(__xludf.DUMMYFUNCTION("""COMPUTED_VALUE"""),"1360000120001")</f>
        <v>1360000120001</v>
      </c>
      <c r="B176" s="2" t="str">
        <f>IFERROR(__xludf.DUMMYFUNCTION("""COMPUTED_VALUE"""),"GOBIERNO AUTONOMO DESCENTRALIZADO PROVINCIAL DE MANABI")</f>
        <v>GOBIERNO AUTONOMO DESCENTRALIZADO PROVINCIAL DE MANABI</v>
      </c>
      <c r="C176" s="2" t="str">
        <f>IFERROR(__xludf.DUMMYFUNCTION("""COMPUTED_VALUE"""),"GOBIERNO AUTONOMO DESCENTRALIZADO PROVINCIAL DE MANABI")</f>
        <v>GOBIERNO AUTONOMO DESCENTRALIZADO PROVINCIAL DE MANABI</v>
      </c>
      <c r="D176" s="2" t="str">
        <f>IFERROR(__xludf.DUMMYFUNCTION("""COMPUTED_VALUE"""),"0981924001")</f>
        <v>0981924001</v>
      </c>
    </row>
    <row r="177">
      <c r="A177" s="2" t="str">
        <f>IFERROR(__xludf.DUMMYFUNCTION("""COMPUTED_VALUE"""),"1756764872001")</f>
        <v>1756764872001</v>
      </c>
      <c r="B177" s="2" t="str">
        <f>IFERROR(__xludf.DUMMYFUNCTION("""COMPUTED_VALUE"""),"GOMEZ LOPEZ RAFAEL JESUS")</f>
        <v>GOMEZ LOPEZ RAFAEL JESUS</v>
      </c>
      <c r="C177" s="2" t="str">
        <f>IFERROR(__xludf.DUMMYFUNCTION("""COMPUTED_VALUE"""),"CONSULTORIO MEDICO MADAMECOURIE")</f>
        <v>CONSULTORIO MEDICO MADAMECOURIE</v>
      </c>
      <c r="D177" s="2" t="str">
        <f>IFERROR(__xludf.DUMMYFUNCTION("""COMPUTED_VALUE"""),"0995714256")</f>
        <v>0995714256</v>
      </c>
    </row>
    <row r="178">
      <c r="A178" s="2" t="str">
        <f>IFERROR(__xludf.DUMMYFUNCTION("""COMPUTED_VALUE"""),"1301764872001")</f>
        <v>1301764872001</v>
      </c>
      <c r="B178" s="2" t="str">
        <f>IFERROR(__xludf.DUMMYFUNCTION("""COMPUTED_VALUE"""),"GONZALEZ GARCIA JULIO CESAR")</f>
        <v>GONZALEZ GARCIA JULIO CESAR</v>
      </c>
      <c r="C178" s="2" t="str">
        <f>IFERROR(__xludf.DUMMYFUNCTION("""COMPUTED_VALUE"""),"CONSULTORIO DR JULIO GONZALEZ")</f>
        <v>CONSULTORIO DR JULIO GONZALEZ</v>
      </c>
      <c r="D178" s="2" t="str">
        <f>IFERROR(__xludf.DUMMYFUNCTION("""COMPUTED_VALUE"""),"0983117025")</f>
        <v>0983117025</v>
      </c>
    </row>
    <row r="179">
      <c r="A179" s="2" t="str">
        <f>IFERROR(__xludf.DUMMYFUNCTION("""COMPUTED_VALUE"""),"1310146657001")</f>
        <v>1310146657001</v>
      </c>
      <c r="B179" s="2" t="str">
        <f>IFERROR(__xludf.DUMMYFUNCTION("""COMPUTED_VALUE"""),"GOROZABEL MERA IVAN JAVIER")</f>
        <v>GOROZABEL MERA IVAN JAVIER</v>
      </c>
      <c r="C179" s="2" t="str">
        <f>IFERROR(__xludf.DUMMYFUNCTION("""COMPUTED_VALUE"""),"CONSULTORIO ODONTOLOGICO SAEM DENTAL")</f>
        <v>CONSULTORIO ODONTOLOGICO SAEM DENTAL</v>
      </c>
      <c r="D179" s="2" t="str">
        <f>IFERROR(__xludf.DUMMYFUNCTION("""COMPUTED_VALUE"""),"0982216297")</f>
        <v>0982216297</v>
      </c>
    </row>
    <row r="180">
      <c r="A180" s="2" t="str">
        <f>IFERROR(__xludf.DUMMYFUNCTION("""COMPUTED_VALUE"""),"1301059331001")</f>
        <v>1301059331001</v>
      </c>
      <c r="B180" s="2" t="str">
        <f>IFERROR(__xludf.DUMMYFUNCTION("""COMPUTED_VALUE"""),"GUANOLUISA CEVALLOS GALO MANUEL")</f>
        <v>GUANOLUISA CEVALLOS GALO MANUEL</v>
      </c>
      <c r="C180" s="2" t="str">
        <f>IFERROR(__xludf.DUMMYFUNCTION("""COMPUTED_VALUE"""),"CONSULTORIO MÉDICO DR GALO")</f>
        <v>CONSULTORIO MÉDICO DR GALO</v>
      </c>
      <c r="D180" s="2" t="str">
        <f>IFERROR(__xludf.DUMMYFUNCTION("""COMPUTED_VALUE"""),"0985468082")</f>
        <v>0985468082</v>
      </c>
    </row>
    <row r="181">
      <c r="A181" s="2" t="str">
        <f>IFERROR(__xludf.DUMMYFUNCTION("""COMPUTED_VALUE"""),"1302339682001")</f>
        <v>1302339682001</v>
      </c>
      <c r="B181" s="2" t="str">
        <f>IFERROR(__xludf.DUMMYFUNCTION("""COMPUTED_VALUE"""),"GUERRERO GARCIA KEMPIS VERNON")</f>
        <v>GUERRERO GARCIA KEMPIS VERNON</v>
      </c>
      <c r="C181" s="2" t="str">
        <f>IFERROR(__xludf.DUMMYFUNCTION("""COMPUTED_VALUE"""),"CONSULTORIO MEDICO KEMPIS")</f>
        <v>CONSULTORIO MEDICO KEMPIS</v>
      </c>
      <c r="D181" s="2" t="str">
        <f>IFERROR(__xludf.DUMMYFUNCTION("""COMPUTED_VALUE"""),"0991236583")</f>
        <v>0991236583</v>
      </c>
    </row>
    <row r="182">
      <c r="A182" s="2" t="str">
        <f>IFERROR(__xludf.DUMMYFUNCTION("""COMPUTED_VALUE"""),"1303162489001")</f>
        <v>1303162489001</v>
      </c>
      <c r="B182" s="2" t="str">
        <f>IFERROR(__xludf.DUMMYFUNCTION("""COMPUTED_VALUE"""),"GUERRERO GARCIA YARA AZALIA BEATRIZ")</f>
        <v>GUERRERO GARCIA YARA AZALIA BEATRIZ</v>
      </c>
      <c r="C182" s="2" t="str">
        <f>IFERROR(__xludf.DUMMYFUNCTION("""COMPUTED_VALUE"""),"OMNI DENTAL")</f>
        <v>OMNI DENTAL</v>
      </c>
      <c r="D182" s="2" t="str">
        <f>IFERROR(__xludf.DUMMYFUNCTION("""COMPUTED_VALUE"""),"0994655538")</f>
        <v>0994655538</v>
      </c>
    </row>
    <row r="183">
      <c r="A183" s="2" t="str">
        <f>IFERROR(__xludf.DUMMYFUNCTION("""COMPUTED_VALUE"""),"1310251457001")</f>
        <v>1310251457001</v>
      </c>
      <c r="B183" s="2" t="str">
        <f>IFERROR(__xludf.DUMMYFUNCTION("""COMPUTED_VALUE"""),"GUERRERO JURADO LUIS AGUSTIN")</f>
        <v>GUERRERO JURADO LUIS AGUSTIN</v>
      </c>
      <c r="C183" s="2" t="str">
        <f>IFERROR(__xludf.DUMMYFUNCTION("""COMPUTED_VALUE"""),"CONSULTORIO ODONTOLOGICO PLATINUM")</f>
        <v>CONSULTORIO ODONTOLOGICO PLATINUM</v>
      </c>
      <c r="D183" s="2" t="str">
        <f>IFERROR(__xludf.DUMMYFUNCTION("""COMPUTED_VALUE"""),"0989513432")</f>
        <v>0989513432</v>
      </c>
    </row>
    <row r="184">
      <c r="A184" s="2" t="str">
        <f>IFERROR(__xludf.DUMMYFUNCTION("""COMPUTED_VALUE"""),"1306916915001")</f>
        <v>1306916915001</v>
      </c>
      <c r="B184" s="2" t="str">
        <f>IFERROR(__xludf.DUMMYFUNCTION("""COMPUTED_VALUE"""),"GUERRERO ZAMBRANO CINTHYA MARIA")</f>
        <v>GUERRERO ZAMBRANO CINTHYA MARIA</v>
      </c>
      <c r="C184" s="2" t="str">
        <f>IFERROR(__xludf.DUMMYFUNCTION("""COMPUTED_VALUE"""),"CENTRO DE ESPECIALIDADES GUERRERO")</f>
        <v>CENTRO DE ESPECIALIDADES GUERRERO</v>
      </c>
      <c r="D184" s="2" t="str">
        <f>IFERROR(__xludf.DUMMYFUNCTION("""COMPUTED_VALUE"""),"0969600569")</f>
        <v>0969600569</v>
      </c>
    </row>
    <row r="185">
      <c r="A185" s="2" t="str">
        <f>IFERROR(__xludf.DUMMYFUNCTION("""COMPUTED_VALUE"""),"1316272028001")</f>
        <v>1316272028001</v>
      </c>
      <c r="B185" s="2" t="str">
        <f>IFERROR(__xludf.DUMMYFUNCTION("""COMPUTED_VALUE"""),"GUILLEN SANTANA ERICK SEBASTIAN")</f>
        <v>GUILLEN SANTANA ERICK SEBASTIAN</v>
      </c>
      <c r="C185" s="2" t="str">
        <f>IFERROR(__xludf.DUMMYFUNCTION("""COMPUTED_VALUE"""),"DENTAL GUI")</f>
        <v>DENTAL GUI</v>
      </c>
      <c r="D185" s="2" t="str">
        <f>IFERROR(__xludf.DUMMYFUNCTION("""COMPUTED_VALUE"""),"0959170423")</f>
        <v>0959170423</v>
      </c>
    </row>
    <row r="186">
      <c r="A186" s="2" t="str">
        <f>IFERROR(__xludf.DUMMYFUNCTION("""COMPUTED_VALUE"""),"1304301045001")</f>
        <v>1304301045001</v>
      </c>
      <c r="B186" s="2" t="str">
        <f>IFERROR(__xludf.DUMMYFUNCTION("""COMPUTED_VALUE"""),"GUILLEN VELASQUEZ MARIA LEONOR")</f>
        <v>GUILLEN VELASQUEZ MARIA LEONOR</v>
      </c>
      <c r="C186" s="2" t="str">
        <f>IFERROR(__xludf.DUMMYFUNCTION("""COMPUTED_VALUE"""),"TORRE SAN ANTONIO CONSULTORIO ODONTOLÓGICO DRA MARIA GUILLENOMNI DENTALOMNI DENTALO")</f>
        <v>TORRE SAN ANTONIO CONSULTORIO ODONTOLÓGICO DRA MARIA GUILLENOMNI DENTALOMNI DENTALO</v>
      </c>
      <c r="D186" s="2" t="str">
        <f>IFERROR(__xludf.DUMMYFUNCTION("""COMPUTED_VALUE"""),"0999426389")</f>
        <v>0999426389</v>
      </c>
    </row>
    <row r="187">
      <c r="A187" s="2" t="str">
        <f>IFERROR(__xludf.DUMMYFUNCTION("""COMPUTED_VALUE"""),"1308651361001")</f>
        <v>1308651361001</v>
      </c>
      <c r="B187" s="2" t="str">
        <f>IFERROR(__xludf.DUMMYFUNCTION("""COMPUTED_VALUE"""),"GUIZAMANO LUNA DOLORES CATALINA")</f>
        <v>GUIZAMANO LUNA DOLORES CATALINA</v>
      </c>
      <c r="C187" s="2" t="str">
        <f>IFERROR(__xludf.DUMMYFUNCTION("""COMPUTED_VALUE"""),"CONSULTORIO ODONTOLOGICO")</f>
        <v>CONSULTORIO ODONTOLOGICO</v>
      </c>
      <c r="D187" s="2" t="str">
        <f>IFERROR(__xludf.DUMMYFUNCTION("""COMPUTED_VALUE"""),"0984813458")</f>
        <v>0984813458</v>
      </c>
    </row>
    <row r="188">
      <c r="A188" s="2" t="str">
        <f>IFERROR(__xludf.DUMMYFUNCTION("""COMPUTED_VALUE"""),"1314718642001")</f>
        <v>1314718642001</v>
      </c>
      <c r="B188" s="2" t="str">
        <f>IFERROR(__xludf.DUMMYFUNCTION("""COMPUTED_VALUE"""),"GUTIERREZ BARRETO JOSE FRANCISCO")</f>
        <v>GUTIERREZ BARRETO JOSE FRANCISCO</v>
      </c>
      <c r="C188" s="2" t="str">
        <f>IFERROR(__xludf.DUMMYFUNCTION("""COMPUTED_VALUE"""),"JIREH LABORATORIO CLINICO")</f>
        <v>JIREH LABORATORIO CLINICO</v>
      </c>
      <c r="D188" s="2" t="str">
        <f>IFERROR(__xludf.DUMMYFUNCTION("""COMPUTED_VALUE"""),"0991104795")</f>
        <v>0991104795</v>
      </c>
    </row>
    <row r="189">
      <c r="A189" s="2" t="str">
        <f>IFERROR(__xludf.DUMMYFUNCTION("""COMPUTED_VALUE"""),"1314016468001")</f>
        <v>1314016468001</v>
      </c>
      <c r="B189" s="2" t="str">
        <f>IFERROR(__xludf.DUMMYFUNCTION("""COMPUTED_VALUE"""),"GUTIERREZ CEVALLOS JESSENIA BEATRIZ")</f>
        <v>GUTIERREZ CEVALLOS JESSENIA BEATRIZ</v>
      </c>
      <c r="C189" s="2" t="str">
        <f>IFERROR(__xludf.DUMMYFUNCTION("""COMPUTED_VALUE"""),"GUTIERREZ CEVALLOS JESSENIA BEATRIZ")</f>
        <v>GUTIERREZ CEVALLOS JESSENIA BEATRIZ</v>
      </c>
      <c r="D189" s="2" t="str">
        <f>IFERROR(__xludf.DUMMYFUNCTION("""COMPUTED_VALUE"""),"0994308081")</f>
        <v>0994308081</v>
      </c>
    </row>
    <row r="190">
      <c r="A190" s="2" t="str">
        <f>IFERROR(__xludf.DUMMYFUNCTION("""COMPUTED_VALUE"""),"0501974653001")</f>
        <v>0501974653001</v>
      </c>
      <c r="B190" s="2" t="str">
        <f>IFERROR(__xludf.DUMMYFUNCTION("""COMPUTED_VALUE"""),"GUTIERREZ MORENO GEOVANNA ELIZABETH")</f>
        <v>GUTIERREZ MORENO GEOVANNA ELIZABETH</v>
      </c>
      <c r="C190" s="2" t="str">
        <f>IFERROR(__xludf.DUMMYFUNCTION("""COMPUTED_VALUE"""),"GUTIERREZ MORENO GEOVANNA ELIZABETH")</f>
        <v>GUTIERREZ MORENO GEOVANNA ELIZABETH</v>
      </c>
      <c r="D190" s="2" t="str">
        <f>IFERROR(__xludf.DUMMYFUNCTION("""COMPUTED_VALUE"""),"0985757576")</f>
        <v>0985757576</v>
      </c>
    </row>
    <row r="191">
      <c r="A191" s="2" t="str">
        <f>IFERROR(__xludf.DUMMYFUNCTION("""COMPUTED_VALUE"""),"1310252323001")</f>
        <v>1310252323001</v>
      </c>
      <c r="B191" s="2" t="str">
        <f>IFERROR(__xludf.DUMMYFUNCTION("""COMPUTED_VALUE"""),"HERNANDEZ MIELES CRISTHIAN GUILLERMO")</f>
        <v>HERNANDEZ MIELES CRISTHIAN GUILLERMO</v>
      </c>
      <c r="C191" s="2" t="str">
        <f>IFERROR(__xludf.DUMMYFUNCTION("""COMPUTED_VALUE"""),"TOTAL HARMONY")</f>
        <v>TOTAL HARMONY</v>
      </c>
      <c r="D191" s="2" t="str">
        <f>IFERROR(__xludf.DUMMYFUNCTION("""COMPUTED_VALUE"""),"0959227706")</f>
        <v>0959227706</v>
      </c>
    </row>
    <row r="192">
      <c r="A192" s="2" t="str">
        <f>IFERROR(__xludf.DUMMYFUNCTION("""COMPUTED_VALUE"""),"1310830367001")</f>
        <v>1310830367001</v>
      </c>
      <c r="B192" s="2" t="str">
        <f>IFERROR(__xludf.DUMMYFUNCTION("""COMPUTED_VALUE"""),"HERNANDEZ VILLAVICENCIO MARIA EUGENIA")</f>
        <v>HERNANDEZ VILLAVICENCIO MARIA EUGENIA</v>
      </c>
      <c r="C192" s="2" t="str">
        <f>IFERROR(__xludf.DUMMYFUNCTION("""COMPUTED_VALUE"""),"MARU VILLAVICENCIO CIRUGÍA PLÁSTICA")</f>
        <v>MARU VILLAVICENCIO CIRUGÍA PLÁSTICA</v>
      </c>
      <c r="D192" s="2" t="str">
        <f>IFERROR(__xludf.DUMMYFUNCTION("""COMPUTED_VALUE"""),"0992268402")</f>
        <v>0992268402</v>
      </c>
    </row>
    <row r="193">
      <c r="A193" s="2" t="str">
        <f>IFERROR(__xludf.DUMMYFUNCTION("""COMPUTED_VALUE"""),"1790059111001")</f>
        <v>1790059111001</v>
      </c>
      <c r="B193" s="2" t="str">
        <f>IFERROR(__xludf.DUMMYFUNCTION("""COMPUTED_VALUE"""),"HIDALGO E HIDALGO S.A.")</f>
        <v>HIDALGO E HIDALGO S.A.</v>
      </c>
      <c r="C193" s="2" t="str">
        <f>IFERROR(__xludf.DUMMYFUNCTION("""COMPUTED_VALUE"""),"DISPENSARIO MÉDICO")</f>
        <v>DISPENSARIO MÉDICO</v>
      </c>
      <c r="D193" s="2" t="str">
        <f>IFERROR(__xludf.DUMMYFUNCTION("""COMPUTED_VALUE"""),"0962901067")</f>
        <v>0962901067</v>
      </c>
    </row>
    <row r="194">
      <c r="A194" s="2" t="str">
        <f>IFERROR(__xludf.DUMMYFUNCTION("""COMPUTED_VALUE"""),"1308893872001")</f>
        <v>1308893872001</v>
      </c>
      <c r="B194" s="2" t="str">
        <f>IFERROR(__xludf.DUMMYFUNCTION("""COMPUTED_VALUE"""),"HINOSTROZA BENALCAZAR LUIS EDUARDO")</f>
        <v>HINOSTROZA BENALCAZAR LUIS EDUARDO</v>
      </c>
      <c r="C194" s="2" t="str">
        <f>IFERROR(__xludf.DUMMYFUNCTION("""COMPUTED_VALUE"""),"CONSULTORIO DENTAL HINOSTROZA")</f>
        <v>CONSULTORIO DENTAL HINOSTROZA</v>
      </c>
      <c r="D194" s="2" t="str">
        <f>IFERROR(__xludf.DUMMYFUNCTION("""COMPUTED_VALUE"""),"0994773173")</f>
        <v>0994773173</v>
      </c>
    </row>
    <row r="195">
      <c r="A195" s="2" t="str">
        <f>IFERROR(__xludf.DUMMYFUNCTION("""COMPUTED_VALUE"""),"1308306503001")</f>
        <v>1308306503001</v>
      </c>
      <c r="B195" s="2" t="str">
        <f>IFERROR(__xludf.DUMMYFUNCTION("""COMPUTED_VALUE"""),"HORACIO MENDOZA SANTOS ")</f>
        <v>HORACIO MENDOZA SANTOS </v>
      </c>
      <c r="C195" s="2" t="str">
        <f>IFERROR(__xludf.DUMMYFUNCTION("""COMPUTED_VALUE"""),"CIR CENTRO INTEGRAL RECONSTRUCTIVO ")</f>
        <v>CIR CENTRO INTEGRAL RECONSTRUCTIVO </v>
      </c>
      <c r="D195" s="2" t="str">
        <f>IFERROR(__xludf.DUMMYFUNCTION("""COMPUTED_VALUE"""),"0984050604")</f>
        <v>0984050604</v>
      </c>
    </row>
    <row r="196">
      <c r="A196" s="2" t="str">
        <f>IFERROR(__xludf.DUMMYFUNCTION("""COMPUTED_VALUE"""),"1391781954001")</f>
        <v>1391781954001</v>
      </c>
      <c r="B196" s="2" t="str">
        <f>IFERROR(__xludf.DUMMYFUNCTION("""COMPUTED_VALUE"""),"HOSPITAL CLINICO Y QUIRURGICO MANABITA S.A MANAHOSPITAL")</f>
        <v>HOSPITAL CLINICO Y QUIRURGICO MANABITA S.A MANAHOSPITAL</v>
      </c>
      <c r="C196" s="2" t="str">
        <f>IFERROR(__xludf.DUMMYFUNCTION("""COMPUTED_VALUE"""),"MANAHOSPITAL")</f>
        <v>MANAHOSPITAL</v>
      </c>
      <c r="D196" s="2" t="str">
        <f>IFERROR(__xludf.DUMMYFUNCTION("""COMPUTED_VALUE"""),"0999015410")</f>
        <v>0999015410</v>
      </c>
    </row>
    <row r="197">
      <c r="A197" s="2" t="str">
        <f>IFERROR(__xludf.DUMMYFUNCTION("""COMPUTED_VALUE"""),"1360086920001")</f>
        <v>1360086920001</v>
      </c>
      <c r="B197" s="2" t="str">
        <f>IFERROR(__xludf.DUMMYFUNCTION("""COMPUTED_VALUE"""),"HOSPITAL DE ESPECIALIDADES PORTOVIEJO")</f>
        <v>HOSPITAL DE ESPECIALIDADES PORTOVIEJO</v>
      </c>
      <c r="C197" s="2" t="str">
        <f>IFERROR(__xludf.DUMMYFUNCTION("""COMPUTED_VALUE"""),"HOSPITAL DE ESPECIALIDADES PORTOVIEJO")</f>
        <v>HOSPITAL DE ESPECIALIDADES PORTOVIEJO</v>
      </c>
      <c r="D197" s="2" t="str">
        <f>IFERROR(__xludf.DUMMYFUNCTION("""COMPUTED_VALUE"""),"0523703100")</f>
        <v>0523703100</v>
      </c>
    </row>
    <row r="198">
      <c r="A198" s="2" t="str">
        <f>IFERROR(__xludf.DUMMYFUNCTION("""COMPUTED_VALUE"""),"1360052190001")</f>
        <v>1360052190001</v>
      </c>
      <c r="B198" s="2" t="str">
        <f>IFERROR(__xludf.DUMMYFUNCTION("""COMPUTED_VALUE"""),"HOSPITAL GENERAL - PORTOVIEJO")</f>
        <v>HOSPITAL GENERAL - PORTOVIEJO</v>
      </c>
      <c r="C198" s="2" t="str">
        <f>IFERROR(__xludf.DUMMYFUNCTION("""COMPUTED_VALUE"""),"HOSPITAL GENERAL PORTOVIEJO IESS")</f>
        <v>HOSPITAL GENERAL PORTOVIEJO IESS</v>
      </c>
      <c r="D198" s="2" t="str">
        <f>IFERROR(__xludf.DUMMYFUNCTION("""COMPUTED_VALUE"""),"052564700")</f>
        <v>052564700</v>
      </c>
    </row>
    <row r="199">
      <c r="A199" s="2" t="str">
        <f>IFERROR(__xludf.DUMMYFUNCTION("""COMPUTED_VALUE"""),"1360008370001")</f>
        <v>1360008370001</v>
      </c>
      <c r="B199" s="2" t="str">
        <f>IFERROR(__xludf.DUMMYFUNCTION("""COMPUTED_VALUE"""),"HOSPITAL PROVINCIAL DE PORTOVIEJO DR. VERDI CEVALLOS BALDA")</f>
        <v>HOSPITAL PROVINCIAL DE PORTOVIEJO DR. VERDI CEVALLOS BALDA</v>
      </c>
      <c r="C199" s="2" t="str">
        <f>IFERROR(__xludf.DUMMYFUNCTION("""COMPUTED_VALUE"""),"HOSPITAL DR VERDI CEVALLOS BALDA")</f>
        <v>HOSPITAL DR VERDI CEVALLOS BALDA</v>
      </c>
      <c r="D199" s="2" t="str">
        <f>IFERROR(__xludf.DUMMYFUNCTION("""COMPUTED_VALUE"""),"0980872551")</f>
        <v>0980872551</v>
      </c>
    </row>
    <row r="200">
      <c r="A200" s="2" t="str">
        <f>IFERROR(__xludf.DUMMYFUNCTION("""COMPUTED_VALUE"""),"1316359619001")</f>
        <v>1316359619001</v>
      </c>
      <c r="B200" s="2" t="str">
        <f>IFERROR(__xludf.DUMMYFUNCTION("""COMPUTED_VALUE"""),"IBARRA PALMA JOSSELYN BETZABETH")</f>
        <v>IBARRA PALMA JOSSELYN BETZABETH</v>
      </c>
      <c r="C200" s="2" t="str">
        <f>IFERROR(__xludf.DUMMYFUNCTION("""COMPUTED_VALUE"""),"DENTAL MEDIC")</f>
        <v>DENTAL MEDIC</v>
      </c>
      <c r="D200" s="2" t="str">
        <f>IFERROR(__xludf.DUMMYFUNCTION("""COMPUTED_VALUE"""),"0939269735")</f>
        <v>0939269735</v>
      </c>
    </row>
    <row r="201">
      <c r="A201" s="2" t="str">
        <f>IFERROR(__xludf.DUMMYFUNCTION("""COMPUTED_VALUE"""),"1391916221001")</f>
        <v>1391916221001</v>
      </c>
      <c r="B201" s="2" t="str">
        <f>IFERROR(__xludf.DUMMYFUNCTION("""COMPUTED_VALUE"""),"IMPORTADORA Y DISTRIBUIDORA LOGAR S.A.")</f>
        <v>IMPORTADORA Y DISTRIBUIDORA LOGAR S.A.</v>
      </c>
      <c r="C201" s="2" t="str">
        <f>IFERROR(__xludf.DUMMYFUNCTION("""COMPUTED_VALUE"""),"CENTRO DE ESPECIALIDADES MEDICAS VITALPORT")</f>
        <v>CENTRO DE ESPECIALIDADES MEDICAS VITALPORT</v>
      </c>
      <c r="D201" s="2" t="str">
        <f>IFERROR(__xludf.DUMMYFUNCTION("""COMPUTED_VALUE"""),"0989007347")</f>
        <v>0989007347</v>
      </c>
    </row>
    <row r="202">
      <c r="A202" s="2" t="str">
        <f>IFERROR(__xludf.DUMMYFUNCTION("""COMPUTED_VALUE"""),"1391839723001")</f>
        <v>1391839723001</v>
      </c>
      <c r="B202" s="2" t="str">
        <f>IFERROR(__xludf.DUMMYFUNCTION("""COMPUTED_VALUE"""),"INSTITUTO DE CIENCIAS CRITICAS MANABI ICCMANABI SA")</f>
        <v>INSTITUTO DE CIENCIAS CRITICAS MANABI ICCMANABI SA</v>
      </c>
      <c r="C202" s="2" t="str">
        <f>IFERROR(__xludf.DUMMYFUNCTION("""COMPUTED_VALUE"""),"CLINICA SAN FRANCISCO")</f>
        <v>CLINICA SAN FRANCISCO</v>
      </c>
      <c r="D202" s="2" t="str">
        <f>IFERROR(__xludf.DUMMYFUNCTION("""COMPUTED_VALUE"""),"0981853885")</f>
        <v>0981853885</v>
      </c>
    </row>
    <row r="203">
      <c r="A203" s="2" t="str">
        <f>IFERROR(__xludf.DUMMYFUNCTION("""COMPUTED_VALUE"""),"1391707460001")</f>
        <v>1391707460001</v>
      </c>
      <c r="B203" s="2" t="str">
        <f>IFERROR(__xludf.DUMMYFUNCTION("""COMPUTED_VALUE"""),"INSTITUTO ECUATORIANO DE ENFERMEDADES DIGESTIVAS Y PELVICAS I.E.C.E.D. DOCTOR CARLOS ROBLES JARA Y COMPAÑIA")</f>
        <v>INSTITUTO ECUATORIANO DE ENFERMEDADES DIGESTIVAS Y PELVICAS I.E.C.E.D. DOCTOR CARLOS ROBLES JARA Y COMPAÑIA</v>
      </c>
      <c r="C203" s="2" t="str">
        <f>IFERROR(__xludf.DUMMYFUNCTION("""COMPUTED_VALUE"""),"CLINICA IECED HOSPITAL MADRE TERESA")</f>
        <v>CLINICA IECED HOSPITAL MADRE TERESA</v>
      </c>
      <c r="D203" s="2" t="str">
        <f>IFERROR(__xludf.DUMMYFUNCTION("""COMPUTED_VALUE"""),"0968005960")</f>
        <v>0968005960</v>
      </c>
    </row>
    <row r="204">
      <c r="A204" s="2" t="str">
        <f>IFERROR(__xludf.DUMMYFUNCTION("""COMPUTED_VALUE"""),"1760004650001")</f>
        <v>1760004650001</v>
      </c>
      <c r="B204" s="2" t="str">
        <f>IFERROR(__xludf.DUMMYFUNCTION("""COMPUTED_VALUE"""),"INSTITUTO ECUATORIANO DE SEGURIDAD SOCIAL IESS")</f>
        <v>INSTITUTO ECUATORIANO DE SEGURIDAD SOCIAL IESS</v>
      </c>
      <c r="C204" s="2" t="str">
        <f>IFERROR(__xludf.DUMMYFUNCTION("""COMPUTED_VALUE"""),"INSTITUTO ECUATORIANO DE SEGURIDAD SOCIAL IESS")</f>
        <v>INSTITUTO ECUATORIANO DE SEGURIDAD SOCIAL IESS</v>
      </c>
      <c r="D204" s="2" t="str">
        <f>IFERROR(__xludf.DUMMYFUNCTION("""COMPUTED_VALUE"""),"0980683643")</f>
        <v>0980683643</v>
      </c>
    </row>
    <row r="205">
      <c r="A205" s="2" t="str">
        <f>IFERROR(__xludf.DUMMYFUNCTION("""COMPUTED_VALUE"""),"1391766416001")</f>
        <v>1391766416001</v>
      </c>
      <c r="B205" s="2" t="str">
        <f>IFERROR(__xludf.DUMMYFUNCTION("""COMPUTED_VALUE"""),"INSTITUTO LAVISION S.A.")</f>
        <v>INSTITUTO LAVISION S.A.</v>
      </c>
      <c r="C205" s="2" t="str">
        <f>IFERROR(__xludf.DUMMYFUNCTION("""COMPUTED_VALUE"""),"INSTITUTO DE LA VISION")</f>
        <v>INSTITUTO DE LA VISION</v>
      </c>
      <c r="D205" s="2" t="str">
        <f>IFERROR(__xludf.DUMMYFUNCTION("""COMPUTED_VALUE"""),"0523385500")</f>
        <v>0523385500</v>
      </c>
    </row>
    <row r="206">
      <c r="A206" s="2" t="str">
        <f>IFERROR(__xludf.DUMMYFUNCTION("""COMPUTED_VALUE"""),"1391881312001")</f>
        <v>1391881312001</v>
      </c>
      <c r="B206" s="2" t="str">
        <f>IFERROR(__xludf.DUMMYFUNCTION("""COMPUTED_VALUE"""),"INSTITUTO MANABITA DE ENFERMEDADES CARDIOVASCULAR INMACARDIO S.A.")</f>
        <v>INSTITUTO MANABITA DE ENFERMEDADES CARDIOVASCULAR INMACARDIO S.A.</v>
      </c>
      <c r="C206" s="2" t="str">
        <f>IFERROR(__xludf.DUMMYFUNCTION("""COMPUTED_VALUE"""),"IMEC")</f>
        <v>IMEC</v>
      </c>
      <c r="D206" s="2" t="str">
        <f>IFERROR(__xludf.DUMMYFUNCTION("""COMPUTED_VALUE"""),"0969264000")</f>
        <v>0969264000</v>
      </c>
    </row>
    <row r="207">
      <c r="A207" s="2" t="str">
        <f>IFERROR(__xludf.DUMMYFUNCTION("""COMPUTED_VALUE"""),"1391737777001")</f>
        <v>1391737777001</v>
      </c>
      <c r="B207" s="2" t="str">
        <f>IFERROR(__xludf.DUMMYFUNCTION("""COMPUTED_VALUE"""),"INSTITUTO SUPERIOR TECNOLOGICO PORTOVIEJO CON LA CONDICION DE SUPERIOR UNIVERSITARIO")</f>
        <v>INSTITUTO SUPERIOR TECNOLOGICO PORTOVIEJO CON LA CONDICION DE SUPERIOR UNIVERSITARIO</v>
      </c>
      <c r="C207" s="2" t="str">
        <f>IFERROR(__xludf.DUMMYFUNCTION("""COMPUTED_VALUE"""),"ITSUP CLINIC")</f>
        <v>ITSUP CLINIC</v>
      </c>
      <c r="D207" s="2" t="str">
        <f>IFERROR(__xludf.DUMMYFUNCTION("""COMPUTED_VALUE"""),"0989810100")</f>
        <v>0989810100</v>
      </c>
    </row>
    <row r="208">
      <c r="A208" s="2" t="str">
        <f>IFERROR(__xludf.DUMMYFUNCTION("""COMPUTED_VALUE"""),"1312187634001")</f>
        <v>1312187634001</v>
      </c>
      <c r="B208" s="2" t="str">
        <f>IFERROR(__xludf.DUMMYFUNCTION("""COMPUTED_VALUE"""),"INTRIAGO MOLINA EDISON JUNIOR")</f>
        <v>INTRIAGO MOLINA EDISON JUNIOR</v>
      </c>
      <c r="C208" s="2" t="str">
        <f>IFERROR(__xludf.DUMMYFUNCTION("""COMPUTED_VALUE"""),"GLOBAL DENTAL CENTER")</f>
        <v>GLOBAL DENTAL CENTER</v>
      </c>
      <c r="D208" s="2" t="str">
        <f>IFERROR(__xludf.DUMMYFUNCTION("""COMPUTED_VALUE"""),"0982141576")</f>
        <v>0982141576</v>
      </c>
    </row>
    <row r="209">
      <c r="A209" s="2" t="str">
        <f>IFERROR(__xludf.DUMMYFUNCTION("""COMPUTED_VALUE"""),"1307653012001")</f>
        <v>1307653012001</v>
      </c>
      <c r="B209" s="2" t="str">
        <f>IFERROR(__xludf.DUMMYFUNCTION("""COMPUTED_VALUE"""),"INTRIAGO RIVERA JOSE FIDENCIO")</f>
        <v>INTRIAGO RIVERA JOSE FIDENCIO</v>
      </c>
      <c r="C209" s="2" t="str">
        <f>IFERROR(__xludf.DUMMYFUNCTION("""COMPUTED_VALUE"""),"ESTUDIO 54 BARBER SHOP")</f>
        <v>ESTUDIO 54 BARBER SHOP</v>
      </c>
      <c r="D209" s="2" t="str">
        <f>IFERROR(__xludf.DUMMYFUNCTION("""COMPUTED_VALUE"""),"0992216687")</f>
        <v>0992216687</v>
      </c>
    </row>
    <row r="210">
      <c r="A210" s="2" t="str">
        <f>IFERROR(__xludf.DUMMYFUNCTION("""COMPUTED_VALUE"""),"1722370770001")</f>
        <v>1722370770001</v>
      </c>
      <c r="B210" s="2" t="str">
        <f>IFERROR(__xludf.DUMMYFUNCTION("""COMPUTED_VALUE"""),"JACOME UTRERAS ULISES VLADIMIR")</f>
        <v>JACOME UTRERAS ULISES VLADIMIR</v>
      </c>
      <c r="C210" s="2" t="str">
        <f>IFERROR(__xludf.DUMMYFUNCTION("""COMPUTED_VALUE"""),"TATTOOL")</f>
        <v>TATTOOL</v>
      </c>
      <c r="D210" s="2" t="str">
        <f>IFERROR(__xludf.DUMMYFUNCTION("""COMPUTED_VALUE"""),"0979708999")</f>
        <v>0979708999</v>
      </c>
    </row>
    <row r="211">
      <c r="A211" s="2" t="str">
        <f>IFERROR(__xludf.DUMMYFUNCTION("""COMPUTED_VALUE"""),"1314646777001")</f>
        <v>1314646777001</v>
      </c>
      <c r="B211" s="2" t="str">
        <f>IFERROR(__xludf.DUMMYFUNCTION("""COMPUTED_VALUE"""),"JAMA BURGOS VICTOR VALENTIN")</f>
        <v>JAMA BURGOS VICTOR VALENTIN</v>
      </c>
      <c r="C211" s="2" t="str">
        <f>IFERROR(__xludf.DUMMYFUNCTION("""COMPUTED_VALUE"""),"VITALIS DENT")</f>
        <v>VITALIS DENT</v>
      </c>
      <c r="D211" s="2" t="str">
        <f>IFERROR(__xludf.DUMMYFUNCTION("""COMPUTED_VALUE"""),"0992652547")</f>
        <v>0992652547</v>
      </c>
    </row>
    <row r="212">
      <c r="A212" s="2" t="str">
        <f>IFERROR(__xludf.DUMMYFUNCTION("""COMPUTED_VALUE"""),"1390128564001")</f>
        <v>1390128564001</v>
      </c>
      <c r="B212" s="2" t="str">
        <f>IFERROR(__xludf.DUMMYFUNCTION("""COMPUTED_VALUE"""),"JARDINES DE MANABI JARDEMA S.A.")</f>
        <v>JARDINES DE MANABI JARDEMA S.A.</v>
      </c>
      <c r="C212" s="2" t="str">
        <f>IFERROR(__xludf.DUMMYFUNCTION("""COMPUTED_VALUE"""),"CAMPOSANTO JARDINES DE MANABI")</f>
        <v>CAMPOSANTO JARDINES DE MANABI</v>
      </c>
      <c r="D212" s="2" t="str">
        <f>IFERROR(__xludf.DUMMYFUNCTION("""COMPUTED_VALUE"""),"0939213804")</f>
        <v>0939213804</v>
      </c>
    </row>
    <row r="213">
      <c r="A213" s="2" t="str">
        <f>IFERROR(__xludf.DUMMYFUNCTION("""COMPUTED_VALUE"""),"0908771439001")</f>
        <v>0908771439001</v>
      </c>
      <c r="B213" s="2" t="str">
        <f>IFERROR(__xludf.DUMMYFUNCTION("""COMPUTED_VALUE"""),"JIMENEZ PERALTA JEANETTE PATRICIA")</f>
        <v>JIMENEZ PERALTA JEANETTE PATRICIA</v>
      </c>
      <c r="C213" s="2" t="str">
        <f>IFERROR(__xludf.DUMMYFUNCTION("""COMPUTED_VALUE"""),"CONSULTORIO DE ESPECIALIDAD JIMENEZ")</f>
        <v>CONSULTORIO DE ESPECIALIDAD JIMENEZ</v>
      </c>
      <c r="D213" s="2" t="str">
        <f>IFERROR(__xludf.DUMMYFUNCTION("""COMPUTED_VALUE"""),"0939669118")</f>
        <v>0939669118</v>
      </c>
    </row>
    <row r="214">
      <c r="A214" s="2" t="str">
        <f>IFERROR(__xludf.DUMMYFUNCTION("""COMPUTED_VALUE"""),"1391719949001")</f>
        <v>1391719949001</v>
      </c>
      <c r="B214" s="2" t="str">
        <f>IFERROR(__xludf.DUMMYFUNCTION("""COMPUTED_VALUE"""),"JUNTA PROVINCIAL DE LA CRUZ ROJA DE MANABI")</f>
        <v>JUNTA PROVINCIAL DE LA CRUZ ROJA DE MANABI</v>
      </c>
      <c r="C214" s="2" t="str">
        <f>IFERROR(__xludf.DUMMYFUNCTION("""COMPUTED_VALUE"""),"JUNTA PROVINCIAL DE LA CRUZ ROJA DE MANABÍ")</f>
        <v>JUNTA PROVINCIAL DE LA CRUZ ROJA DE MANABÍ</v>
      </c>
      <c r="D214" s="2" t="str">
        <f>IFERROR(__xludf.DUMMYFUNCTION("""COMPUTED_VALUE"""),"0967080871")</f>
        <v>0967080871</v>
      </c>
    </row>
    <row r="215">
      <c r="A215" s="2" t="str">
        <f>IFERROR(__xludf.DUMMYFUNCTION("""COMPUTED_VALUE"""),"1305457077001")</f>
        <v>1305457077001</v>
      </c>
      <c r="B215" s="2" t="str">
        <f>IFERROR(__xludf.DUMMYFUNCTION("""COMPUTED_VALUE"""),"JURADO MEZA LUIS ALBERTO")</f>
        <v>JURADO MEZA LUIS ALBERTO</v>
      </c>
      <c r="C215" s="2" t="str">
        <f>IFERROR(__xludf.DUMMYFUNCTION("""COMPUTED_VALUE"""),"CONSULTORIO MEDICO LUIS JURADO")</f>
        <v>CONSULTORIO MEDICO LUIS JURADO</v>
      </c>
      <c r="D215" s="2" t="str">
        <f>IFERROR(__xludf.DUMMYFUNCTION("""COMPUTED_VALUE"""),"0997692203")</f>
        <v>0997692203</v>
      </c>
    </row>
    <row r="216">
      <c r="A216" s="2" t="str">
        <f>IFERROR(__xludf.DUMMYFUNCTION("""COMPUTED_VALUE"""),"1391724462001")</f>
        <v>1391724462001</v>
      </c>
      <c r="B216" s="2" t="str">
        <f>IFERROR(__xludf.DUMMYFUNCTION("""COMPUTED_VALUE"""),"LAB-CENTRO PALACIO CIA. LTDA.")</f>
        <v>LAB-CENTRO PALACIO CIA. LTDA.</v>
      </c>
      <c r="C216" s="2" t="str">
        <f>IFERROR(__xludf.DUMMYFUNCTION("""COMPUTED_VALUE"""),"LABORATORIO PALACIO ALCC")</f>
        <v>LABORATORIO PALACIO ALCC</v>
      </c>
      <c r="D216" s="2" t="str">
        <f>IFERROR(__xludf.DUMMYFUNCTION("""COMPUTED_VALUE"""),"0994074077")</f>
        <v>0994074077</v>
      </c>
    </row>
    <row r="217">
      <c r="A217" s="2" t="str">
        <f>IFERROR(__xludf.DUMMYFUNCTION("""COMPUTED_VALUE"""),"1391818432001")</f>
        <v>1391818432001</v>
      </c>
      <c r="B217" s="2" t="str">
        <f>IFERROR(__xludf.DUMMYFUNCTION("""COMPUTED_VALUE"""),"LABORATORIOS SANTA RITA LABSANTARITA S.A.")</f>
        <v>LABORATORIOS SANTA RITA LABSANTARITA S.A.</v>
      </c>
      <c r="C217" s="2" t="str">
        <f>IFERROR(__xludf.DUMMYFUNCTION("""COMPUTED_VALUE"""),"LABORATORIOS SANTA RITA LABSANTARITA S.A.")</f>
        <v>LABORATORIOS SANTA RITA LABSANTARITA S.A.</v>
      </c>
      <c r="D217" s="2" t="str">
        <f>IFERROR(__xludf.DUMMYFUNCTION("""COMPUTED_VALUE"""),"0939047227")</f>
        <v>0939047227</v>
      </c>
    </row>
    <row r="218">
      <c r="A218" s="2" t="str">
        <f>IFERROR(__xludf.DUMMYFUNCTION("""COMPUTED_VALUE"""),"0992542462001")</f>
        <v>0992542462001</v>
      </c>
      <c r="B218" s="2" t="str">
        <f>IFERROR(__xludf.DUMMYFUNCTION("""COMPUTED_VALUE"""),"LABSERVICES S.A.")</f>
        <v>LABSERVICES S.A.</v>
      </c>
      <c r="C218" s="2" t="str">
        <f>IFERROR(__xludf.DUMMYFUNCTION("""COMPUTED_VALUE"""),"LABSERVICES S.A.")</f>
        <v>LABSERVICES S.A.</v>
      </c>
      <c r="D218" s="2" t="str">
        <f>IFERROR(__xludf.DUMMYFUNCTION("""COMPUTED_VALUE"""),"0999459969")</f>
        <v>0999459969</v>
      </c>
    </row>
    <row r="219">
      <c r="A219" s="2" t="str">
        <f>IFERROR(__xludf.DUMMYFUNCTION("""COMPUTED_VALUE"""),"1308494283001")</f>
        <v>1308494283001</v>
      </c>
      <c r="B219" s="2" t="str">
        <f>IFERROR(__xludf.DUMMYFUNCTION("""COMPUTED_VALUE"""),"LARREA DUEÑAS MARIA GRACIA")</f>
        <v>LARREA DUEÑAS MARIA GRACIA</v>
      </c>
      <c r="C219" s="2" t="str">
        <f>IFERROR(__xludf.DUMMYFUNCTION("""COMPUTED_VALUE"""),"CLINICA DENTAL ENOVA")</f>
        <v>CLINICA DENTAL ENOVA</v>
      </c>
      <c r="D219" s="2" t="str">
        <f>IFERROR(__xludf.DUMMYFUNCTION("""COMPUTED_VALUE"""),"0983310961")</f>
        <v>0983310961</v>
      </c>
    </row>
    <row r="220">
      <c r="A220" s="2" t="str">
        <f>IFERROR(__xludf.DUMMYFUNCTION("""COMPUTED_VALUE"""),"1305629394001")</f>
        <v>1305629394001</v>
      </c>
      <c r="B220" s="2" t="str">
        <f>IFERROR(__xludf.DUMMYFUNCTION("""COMPUTED_VALUE"""),"LLAGUNO MERO ARTURO SALOMON")</f>
        <v>LLAGUNO MERO ARTURO SALOMON</v>
      </c>
      <c r="C220" s="2" t="str">
        <f>IFERROR(__xludf.DUMMYFUNCTION("""COMPUTED_VALUE"""),"MEDIESTETIC-LASER")</f>
        <v>MEDIESTETIC-LASER</v>
      </c>
      <c r="D220" s="2" t="str">
        <f>IFERROR(__xludf.DUMMYFUNCTION("""COMPUTED_VALUE"""),"0999040467")</f>
        <v>0999040467</v>
      </c>
    </row>
    <row r="221">
      <c r="A221" s="2" t="str">
        <f>IFERROR(__xludf.DUMMYFUNCTION("""COMPUTED_VALUE"""),"1308284908001")</f>
        <v>1308284908001</v>
      </c>
      <c r="B221" s="2" t="str">
        <f>IFERROR(__xludf.DUMMYFUNCTION("""COMPUTED_VALUE"""),"LOOR CEVALLOS DIXI MELISSA")</f>
        <v>LOOR CEVALLOS DIXI MELISSA</v>
      </c>
      <c r="C221" s="2" t="str">
        <f>IFERROR(__xludf.DUMMYFUNCTION("""COMPUTED_VALUE"""),"MOTEL LAS PALMAS")</f>
        <v>MOTEL LAS PALMAS</v>
      </c>
      <c r="D221" s="2" t="str">
        <f>IFERROR(__xludf.DUMMYFUNCTION("""COMPUTED_VALUE"""),"0993009301")</f>
        <v>0993009301</v>
      </c>
    </row>
    <row r="222">
      <c r="A222" s="2" t="str">
        <f>IFERROR(__xludf.DUMMYFUNCTION("""COMPUTED_VALUE"""),"1312357344001")</f>
        <v>1312357344001</v>
      </c>
      <c r="B222" s="2" t="str">
        <f>IFERROR(__xludf.DUMMYFUNCTION("""COMPUTED_VALUE"""),"LOOR GARCIA EVELYN MONSERRATE")</f>
        <v>LOOR GARCIA EVELYN MONSERRATE</v>
      </c>
      <c r="C222" s="2" t="str">
        <f>IFERROR(__xludf.DUMMYFUNCTION("""COMPUTED_VALUE"""),"CONSULTORIO MEDICO INDERMA")</f>
        <v>CONSULTORIO MEDICO INDERMA</v>
      </c>
      <c r="D222" s="2" t="str">
        <f>IFERROR(__xludf.DUMMYFUNCTION("""COMPUTED_VALUE"""),"0991894623")</f>
        <v>0991894623</v>
      </c>
    </row>
    <row r="223">
      <c r="A223" s="2" t="str">
        <f>IFERROR(__xludf.DUMMYFUNCTION("""COMPUTED_VALUE"""),"1310065964001")</f>
        <v>1310065964001</v>
      </c>
      <c r="B223" s="2" t="str">
        <f>IFERROR(__xludf.DUMMYFUNCTION("""COMPUTED_VALUE"""),"LOOR PLAZA DEXIDA ROSALIA")</f>
        <v>LOOR PLAZA DEXIDA ROSALIA</v>
      </c>
      <c r="C223" s="2" t="str">
        <f>IFERROR(__xludf.DUMMYFUNCTION("""COMPUTED_VALUE"""),"PELUQUERIA D ROSALIA")</f>
        <v>PELUQUERIA D ROSALIA</v>
      </c>
      <c r="D223" s="2" t="str">
        <f>IFERROR(__xludf.DUMMYFUNCTION("""COMPUTED_VALUE"""),"0988497619")</f>
        <v>0988497619</v>
      </c>
    </row>
    <row r="224">
      <c r="A224" s="2" t="str">
        <f>IFERROR(__xludf.DUMMYFUNCTION("""COMPUTED_VALUE"""),"1302219066001")</f>
        <v>1302219066001</v>
      </c>
      <c r="B224" s="2" t="str">
        <f>IFERROR(__xludf.DUMMYFUNCTION("""COMPUTED_VALUE"""),"LOOR RIVAS HOMERO ANTONIO")</f>
        <v>LOOR RIVAS HOMERO ANTONIO</v>
      </c>
      <c r="C224" s="2" t="str">
        <f>IFERROR(__xludf.DUMMYFUNCTION("""COMPUTED_VALUE"""),"DENTAL LOOR")</f>
        <v>DENTAL LOOR</v>
      </c>
      <c r="D224" s="2" t="str">
        <f>IFERROR(__xludf.DUMMYFUNCTION("""COMPUTED_VALUE"""),"0959261596")</f>
        <v>0959261596</v>
      </c>
    </row>
    <row r="225">
      <c r="A225" s="2" t="str">
        <f>IFERROR(__xludf.DUMMYFUNCTION("""COMPUTED_VALUE"""),"1315233237001")</f>
        <v>1315233237001</v>
      </c>
      <c r="B225" s="2" t="str">
        <f>IFERROR(__xludf.DUMMYFUNCTION("""COMPUTED_VALUE"""),"LOOR SAAVEDRA BRANDON JUDEL")</f>
        <v>LOOR SAAVEDRA BRANDON JUDEL</v>
      </c>
      <c r="C225" s="2" t="str">
        <f>IFERROR(__xludf.DUMMYFUNCTION("""COMPUTED_VALUE"""),"INUVET")</f>
        <v>INUVET</v>
      </c>
      <c r="D225" s="2" t="str">
        <f>IFERROR(__xludf.DUMMYFUNCTION("""COMPUTED_VALUE"""),"0979152678")</f>
        <v>0979152678</v>
      </c>
    </row>
    <row r="226">
      <c r="A226" s="2" t="str">
        <f>IFERROR(__xludf.DUMMYFUNCTION("""COMPUTED_VALUE"""),"1391916760001")</f>
        <v>1391916760001</v>
      </c>
      <c r="B226" s="2" t="str">
        <f>IFERROR(__xludf.DUMMYFUNCTION("""COMPUTED_VALUE"""),"LORFAVE S.A.S.")</f>
        <v>LORFAVE S.A.S.</v>
      </c>
      <c r="C226" s="2" t="str">
        <f>IFERROR(__xludf.DUMMYFUNCTION("""COMPUTED_VALUE"""),"ANDRES VESALIO RADIOLOGIA ESPECIALIZADA")</f>
        <v>ANDRES VESALIO RADIOLOGIA ESPECIALIZADA</v>
      </c>
      <c r="D226" s="2" t="str">
        <f>IFERROR(__xludf.DUMMYFUNCTION("""COMPUTED_VALUE"""),"0984488057")</f>
        <v>0984488057</v>
      </c>
    </row>
    <row r="227">
      <c r="A227" s="2" t="str">
        <f>IFERROR(__xludf.DUMMYFUNCTION("""COMPUTED_VALUE"""),"1305750182001")</f>
        <v>1305750182001</v>
      </c>
      <c r="B227" s="2" t="str">
        <f>IFERROR(__xludf.DUMMYFUNCTION("""COMPUTED_VALUE"""),"LUQUE ROBLES BELLA AURORA")</f>
        <v>LUQUE ROBLES BELLA AURORA</v>
      </c>
      <c r="C227" s="2" t="str">
        <f>IFERROR(__xludf.DUMMYFUNCTION("""COMPUTED_VALUE"""),"LUQUE ROBLES BELLA AURORA")</f>
        <v>LUQUE ROBLES BELLA AURORA</v>
      </c>
      <c r="D227" s="2" t="str">
        <f>IFERROR(__xludf.DUMMYFUNCTION("""COMPUTED_VALUE"""),"0997200956")</f>
        <v>0997200956</v>
      </c>
    </row>
    <row r="228">
      <c r="A228" s="2" t="str">
        <f>IFERROR(__xludf.DUMMYFUNCTION("""COMPUTED_VALUE"""),"1316716230001")</f>
        <v>1316716230001</v>
      </c>
      <c r="B228" s="2" t="str">
        <f>IFERROR(__xludf.DUMMYFUNCTION("""COMPUTED_VALUE"""),"MACIAS CEDEÑO HEIDY JOSENKA")</f>
        <v>MACIAS CEDEÑO HEIDY JOSENKA</v>
      </c>
      <c r="C228" s="2" t="str">
        <f>IFERROR(__xludf.DUMMYFUNCTION("""COMPUTED_VALUE"""),"CONSULTORIO ODONTOLOGICO JM")</f>
        <v>CONSULTORIO ODONTOLOGICO JM</v>
      </c>
      <c r="D228" s="2" t="str">
        <f>IFERROR(__xludf.DUMMYFUNCTION("""COMPUTED_VALUE"""),"0979531279")</f>
        <v>0979531279</v>
      </c>
    </row>
    <row r="229">
      <c r="A229" s="2" t="str">
        <f>IFERROR(__xludf.DUMMYFUNCTION("""COMPUTED_VALUE"""),"1313082230001")</f>
        <v>1313082230001</v>
      </c>
      <c r="B229" s="2" t="str">
        <f>IFERROR(__xludf.DUMMYFUNCTION("""COMPUTED_VALUE"""),"MACIAS CHAVEZ MARIA CRISTINA")</f>
        <v>MACIAS CHAVEZ MARIA CRISTINA</v>
      </c>
      <c r="C229" s="2" t="str">
        <f>IFERROR(__xludf.DUMMYFUNCTION("""COMPUTED_VALUE"""),"CRISDENTAL")</f>
        <v>CRISDENTAL</v>
      </c>
      <c r="D229" s="2" t="str">
        <f>IFERROR(__xludf.DUMMYFUNCTION("""COMPUTED_VALUE"""),"0987604940")</f>
        <v>0987604940</v>
      </c>
    </row>
    <row r="230">
      <c r="A230" s="2" t="str">
        <f>IFERROR(__xludf.DUMMYFUNCTION("""COMPUTED_VALUE"""),"1307207272001")</f>
        <v>1307207272001</v>
      </c>
      <c r="B230" s="2" t="str">
        <f>IFERROR(__xludf.DUMMYFUNCTION("""COMPUTED_VALUE"""),"MACIAS ESCOBAR JESUS MAGDALENA")</f>
        <v>MACIAS ESCOBAR JESUS MAGDALENA</v>
      </c>
      <c r="C230" s="2" t="str">
        <f>IFERROR(__xludf.DUMMYFUNCTION("""COMPUTED_VALUE"""),"MAGDALENA MACIAS ESCOBAR")</f>
        <v>MAGDALENA MACIAS ESCOBAR</v>
      </c>
      <c r="D230" s="2" t="str">
        <f>IFERROR(__xludf.DUMMYFUNCTION("""COMPUTED_VALUE"""),"0988141739")</f>
        <v>0988141739</v>
      </c>
    </row>
    <row r="231">
      <c r="A231" s="2" t="str">
        <f>IFERROR(__xludf.DUMMYFUNCTION("""COMPUTED_VALUE"""),"1350280325001")</f>
        <v>1350280325001</v>
      </c>
      <c r="B231" s="2" t="str">
        <f>IFERROR(__xludf.DUMMYFUNCTION("""COMPUTED_VALUE"""),"MACIAS TUBAY MATHEO JOEL")</f>
        <v>MACIAS TUBAY MATHEO JOEL</v>
      </c>
      <c r="C231" s="2" t="str">
        <f>IFERROR(__xludf.DUMMYFUNCTION("""COMPUTED_VALUE"""),"CENTRO TERAPEUTICO CAMINO A LA PAZ")</f>
        <v>CENTRO TERAPEUTICO CAMINO A LA PAZ</v>
      </c>
      <c r="D231" s="2" t="str">
        <f>IFERROR(__xludf.DUMMYFUNCTION("""COMPUTED_VALUE"""),"0983513330")</f>
        <v>0983513330</v>
      </c>
    </row>
    <row r="232">
      <c r="A232" s="2" t="str">
        <f>IFERROR(__xludf.DUMMYFUNCTION("""COMPUTED_VALUE"""),"1308740255001")</f>
        <v>1308740255001</v>
      </c>
      <c r="B232" s="2" t="str">
        <f>IFERROR(__xludf.DUMMYFUNCTION("""COMPUTED_VALUE"""),"MACIAS YEN CHONG YOHANA GEOMAR")</f>
        <v>MACIAS YEN CHONG YOHANA GEOMAR</v>
      </c>
      <c r="C232" s="2" t="str">
        <f>IFERROR(__xludf.DUMMYFUNCTION("""COMPUTED_VALUE"""),"CONSULTORIO DENTAL")</f>
        <v>CONSULTORIO DENTAL</v>
      </c>
      <c r="D232" s="2" t="str">
        <f>IFERROR(__xludf.DUMMYFUNCTION("""COMPUTED_VALUE"""),"0991517212")</f>
        <v>0991517212</v>
      </c>
    </row>
    <row r="233">
      <c r="A233" s="2" t="str">
        <f>IFERROR(__xludf.DUMMYFUNCTION("""COMPUTED_VALUE"""),"0992493534001")</f>
        <v>0992493534001</v>
      </c>
      <c r="B233" s="2" t="str">
        <f>IFERROR(__xludf.DUMMYFUNCTION("""COMPUTED_VALUE"""),"MACROSALUD S.A.")</f>
        <v>MACROSALUD S.A.</v>
      </c>
      <c r="C233" s="2" t="str">
        <f>IFERROR(__xludf.DUMMYFUNCTION("""COMPUTED_VALUE"""),"MACROSALUD S.A.")</f>
        <v>MACROSALUD S.A.</v>
      </c>
      <c r="D233" s="2" t="str">
        <f>IFERROR(__xludf.DUMMYFUNCTION("""COMPUTED_VALUE"""),"0985994786")</f>
        <v>0985994786</v>
      </c>
    </row>
    <row r="234">
      <c r="A234" s="2" t="str">
        <f>IFERROR(__xludf.DUMMYFUNCTION("""COMPUTED_VALUE"""),"1306652627001")</f>
        <v>1306652627001</v>
      </c>
      <c r="B234" s="2" t="str">
        <f>IFERROR(__xludf.DUMMYFUNCTION("""COMPUTED_VALUE"""),"MADRID CASTRO PATRICIA PILAR")</f>
        <v>MADRID CASTRO PATRICIA PILAR</v>
      </c>
      <c r="C234" s="2" t="str">
        <f>IFERROR(__xludf.DUMMYFUNCTION("""COMPUTED_VALUE"""),"CONSULTORIO DENTAL")</f>
        <v>CONSULTORIO DENTAL</v>
      </c>
      <c r="D234" s="2" t="str">
        <f>IFERROR(__xludf.DUMMYFUNCTION("""COMPUTED_VALUE"""),"0964058171")</f>
        <v>0964058171</v>
      </c>
    </row>
    <row r="235">
      <c r="A235" s="2" t="str">
        <f>IFERROR(__xludf.DUMMYFUNCTION("""COMPUTED_VALUE"""),"1309318358001")</f>
        <v>1309318358001</v>
      </c>
      <c r="B235" s="2" t="str">
        <f>IFERROR(__xludf.DUMMYFUNCTION("""COMPUTED_VALUE"""),"MALLA VALDIVIEZO LUIS ALBERTO")</f>
        <v>MALLA VALDIVIEZO LUIS ALBERTO</v>
      </c>
      <c r="C235" s="2" t="str">
        <f>IFERROR(__xludf.DUMMYFUNCTION("""COMPUTED_VALUE"""),"CONSULTORIO MÉDICO MALLA MENDIETA")</f>
        <v>CONSULTORIO MÉDICO MALLA MENDIETA</v>
      </c>
      <c r="D235" s="2" t="str">
        <f>IFERROR(__xludf.DUMMYFUNCTION("""COMPUTED_VALUE"""),"0997088677")</f>
        <v>0997088677</v>
      </c>
    </row>
    <row r="236">
      <c r="A236" s="2" t="str">
        <f>IFERROR(__xludf.DUMMYFUNCTION("""COMPUTED_VALUE"""),"1390149103001")</f>
        <v>1390149103001</v>
      </c>
      <c r="B236" s="2" t="str">
        <f>IFERROR(__xludf.DUMMYFUNCTION("""COMPUTED_VALUE"""),"MANADIALISIS S.A")</f>
        <v>MANADIALISIS S.A</v>
      </c>
      <c r="C236" s="2" t="str">
        <f>IFERROR(__xludf.DUMMYFUNCTION("""COMPUTED_VALUE"""),"MANADIALISIS S A")</f>
        <v>MANADIALISIS S A</v>
      </c>
      <c r="D236" s="2" t="str">
        <f>IFERROR(__xludf.DUMMYFUNCTION("""COMPUTED_VALUE"""),"0994071877")</f>
        <v>0994071877</v>
      </c>
    </row>
    <row r="237">
      <c r="A237" s="2" t="str">
        <f>IFERROR(__xludf.DUMMYFUNCTION("""COMPUTED_VALUE"""),"1310072473001")</f>
        <v>1310072473001</v>
      </c>
      <c r="B237" s="2" t="str">
        <f>IFERROR(__xludf.DUMMYFUNCTION("""COMPUTED_VALUE"""),"MANZABA MOREIRA JOHANNA JAQUELINE")</f>
        <v>MANZABA MOREIRA JOHANNA JAQUELINE</v>
      </c>
      <c r="C237" s="2" t="str">
        <f>IFERROR(__xludf.DUMMYFUNCTION("""COMPUTED_VALUE"""),"MANZABA MOREIRA JOHANNA JAQUELINE")</f>
        <v>MANZABA MOREIRA JOHANNA JAQUELINE</v>
      </c>
      <c r="D237" s="2" t="str">
        <f>IFERROR(__xludf.DUMMYFUNCTION("""COMPUTED_VALUE"""),"0993317754")</f>
        <v>0993317754</v>
      </c>
    </row>
    <row r="238">
      <c r="A238" s="2" t="str">
        <f>IFERROR(__xludf.DUMMYFUNCTION("""COMPUTED_VALUE"""),"1310900947001")</f>
        <v>1310900947001</v>
      </c>
      <c r="B238" s="2" t="str">
        <f>IFERROR(__xludf.DUMMYFUNCTION("""COMPUTED_VALUE"""),"MANZO MOREIRA LEIDY ELIZABETH")</f>
        <v>MANZO MOREIRA LEIDY ELIZABETH</v>
      </c>
      <c r="C238" s="2" t="str">
        <f>IFERROR(__xludf.DUMMYFUNCTION("""COMPUTED_VALUE"""),"CONSULTORIO MEDICO ""FAMILY""   ")</f>
        <v>CONSULTORIO MEDICO "FAMILY"   </v>
      </c>
      <c r="D238" s="2" t="str">
        <f>IFERROR(__xludf.DUMMYFUNCTION("""COMPUTED_VALUE"""),"0985948394")</f>
        <v>0985948394</v>
      </c>
    </row>
    <row r="239">
      <c r="A239" s="2" t="str">
        <f>IFERROR(__xludf.DUMMYFUNCTION("""COMPUTED_VALUE"""),"1310065774001")</f>
        <v>1310065774001</v>
      </c>
      <c r="B239" s="2" t="str">
        <f>IFERROR(__xludf.DUMMYFUNCTION("""COMPUTED_VALUE"""),"MARÍA NATACHA FLOR HIDROVO")</f>
        <v>MARÍA NATACHA FLOR HIDROVO</v>
      </c>
      <c r="C239" s="2" t="str">
        <f>IFERROR(__xludf.DUMMYFUNCTION("""COMPUTED_VALUE"""),"CLÍNICA DENTAL FLOR")</f>
        <v>CLÍNICA DENTAL FLOR</v>
      </c>
      <c r="D239" s="2" t="str">
        <f>IFERROR(__xludf.DUMMYFUNCTION("""COMPUTED_VALUE"""),"0981508322")</f>
        <v>0981508322</v>
      </c>
    </row>
    <row r="240">
      <c r="A240" s="2" t="str">
        <f>IFERROR(__xludf.DUMMYFUNCTION("""COMPUTED_VALUE"""),"1311500415001")</f>
        <v>1311500415001</v>
      </c>
      <c r="B240" s="2" t="str">
        <f>IFERROR(__xludf.DUMMYFUNCTION("""COMPUTED_VALUE"""),"MARIANO ANTONIO ALAVA MERO")</f>
        <v>MARIANO ANTONIO ALAVA MERO</v>
      </c>
      <c r="C240" s="2" t="str">
        <f>IFERROR(__xludf.DUMMYFUNCTION("""COMPUTED_VALUE"""),"DR. MARIANO ANTONIO ALAVA MERO")</f>
        <v>DR. MARIANO ANTONIO ALAVA MERO</v>
      </c>
      <c r="D240" s="2" t="str">
        <f>IFERROR(__xludf.DUMMYFUNCTION("""COMPUTED_VALUE"""),"0983035872")</f>
        <v>0983035872</v>
      </c>
    </row>
    <row r="241">
      <c r="A241" s="2" t="str">
        <f>IFERROR(__xludf.DUMMYFUNCTION("""COMPUTED_VALUE"""),"0957711799001")</f>
        <v>0957711799001</v>
      </c>
      <c r="B241" s="2" t="str">
        <f>IFERROR(__xludf.DUMMYFUNCTION("""COMPUTED_VALUE"""),"MARTIN MOYA LUZ AMARILIS")</f>
        <v>MARTIN MOYA LUZ AMARILIS</v>
      </c>
      <c r="C241" s="2" t="str">
        <f>IFERROR(__xludf.DUMMYFUNCTION("""COMPUTED_VALUE"""),"MARTIN'S DENTAL")</f>
        <v>MARTIN'S DENTAL</v>
      </c>
      <c r="D241" s="2" t="str">
        <f>IFERROR(__xludf.DUMMYFUNCTION("""COMPUTED_VALUE"""),"0958604281")</f>
        <v>0958604281</v>
      </c>
    </row>
    <row r="242">
      <c r="A242" s="2" t="str">
        <f>IFERROR(__xludf.DUMMYFUNCTION("""COMPUTED_VALUE"""),"1391932990001")</f>
        <v>1391932990001</v>
      </c>
      <c r="B242" s="2" t="str">
        <f>IFERROR(__xludf.DUMMYFUNCTION("""COMPUTED_VALUE"""),"MEDIC SALUD 4 ESQUINAS MS4E SAS")</f>
        <v>MEDIC SALUD 4 ESQUINAS MS4E SAS</v>
      </c>
      <c r="C242" s="2" t="str">
        <f>IFERROR(__xludf.DUMMYFUNCTION("""COMPUTED_VALUE"""),"MEDIC SALUD 4 ESQUINAS MS4E SAS")</f>
        <v>MEDIC SALUD 4 ESQUINAS MS4E SAS</v>
      </c>
      <c r="D242" s="2" t="str">
        <f>IFERROR(__xludf.DUMMYFUNCTION("""COMPUTED_VALUE"""),"0996406650")</f>
        <v>0996406650</v>
      </c>
    </row>
    <row r="243">
      <c r="A243" s="2" t="str">
        <f>IFERROR(__xludf.DUMMYFUNCTION("""COMPUTED_VALUE"""),"1391857896001")</f>
        <v>1391857896001</v>
      </c>
      <c r="B243" s="2" t="str">
        <f>IFERROR(__xludf.DUMMYFUNCTION("""COMPUTED_VALUE"""),"MEDICAL SOLUTIONS ENTERPRISE PROVEEDORA DE SERVICIOS MEDICOS")</f>
        <v>MEDICAL SOLUTIONS ENTERPRISE PROVEEDORA DE SERVICIOS MEDICOS</v>
      </c>
      <c r="C243" s="2" t="str">
        <f>IFERROR(__xludf.DUMMYFUNCTION("""COMPUTED_VALUE"""),"CENTRO MEDICO CARDIOVITAL")</f>
        <v>CENTRO MEDICO CARDIOVITAL</v>
      </c>
      <c r="D243" s="2" t="str">
        <f>IFERROR(__xludf.DUMMYFUNCTION("""COMPUTED_VALUE"""),"0996644385")</f>
        <v>0996644385</v>
      </c>
    </row>
    <row r="244">
      <c r="A244" s="2" t="str">
        <f>IFERROR(__xludf.DUMMYFUNCTION("""COMPUTED_VALUE"""),"1391932369001")</f>
        <v>1391932369001</v>
      </c>
      <c r="B244" s="2" t="str">
        <f>IFERROR(__xludf.DUMMYFUNCTION("""COMPUTED_VALUE"""),"MEDICHOP CIA.LTDA.")</f>
        <v>MEDICHOP CIA.LTDA.</v>
      </c>
      <c r="C244" s="2" t="str">
        <f>IFERROR(__xludf.DUMMYFUNCTION("""COMPUTED_VALUE"""),"CENTRO MÉDICO MEDICHOP")</f>
        <v>CENTRO MÉDICO MEDICHOP</v>
      </c>
      <c r="D244" s="2" t="str">
        <f>IFERROR(__xludf.DUMMYFUNCTION("""COMPUTED_VALUE"""),"0986321890")</f>
        <v>0986321890</v>
      </c>
    </row>
    <row r="245">
      <c r="A245" s="2" t="str">
        <f>IFERROR(__xludf.DUMMYFUNCTION("""COMPUTED_VALUE"""),"1391935517001")</f>
        <v>1391935517001</v>
      </c>
      <c r="B245" s="2" t="str">
        <f>IFERROR(__xludf.DUMMYFUNCTION("""COMPUTED_VALUE"""),"MEDICKING S.A.S.")</f>
        <v>MEDICKING S.A.S.</v>
      </c>
      <c r="C245" s="2" t="str">
        <f>IFERROR(__xludf.DUMMYFUNCTION("""COMPUTED_VALUE"""),"SALUBRIS")</f>
        <v>SALUBRIS</v>
      </c>
      <c r="D245" s="2" t="str">
        <f>IFERROR(__xludf.DUMMYFUNCTION("""COMPUTED_VALUE"""),"0988604772")</f>
        <v>0988604772</v>
      </c>
    </row>
    <row r="246">
      <c r="A246" s="2" t="str">
        <f>IFERROR(__xludf.DUMMYFUNCTION("""COMPUTED_VALUE"""),"0993261416001")</f>
        <v>0993261416001</v>
      </c>
      <c r="B246" s="2" t="str">
        <f>IFERROR(__xludf.DUMMYFUNCTION("""COMPUTED_VALUE"""),"MEDIQUO CIA LTDA")</f>
        <v>MEDIQUO CIA LTDA</v>
      </c>
      <c r="C246" s="2" t="str">
        <f>IFERROR(__xludf.DUMMYFUNCTION("""COMPUTED_VALUE"""),"MEDIQUO")</f>
        <v>MEDIQUO</v>
      </c>
      <c r="D246" s="2" t="str">
        <f>IFERROR(__xludf.DUMMYFUNCTION("""COMPUTED_VALUE"""),"0980872177")</f>
        <v>0980872177</v>
      </c>
    </row>
    <row r="247">
      <c r="A247" s="2" t="str">
        <f>IFERROR(__xludf.DUMMYFUNCTION("""COMPUTED_VALUE"""),"1311012452001")</f>
        <v>1311012452001</v>
      </c>
      <c r="B247" s="2" t="str">
        <f>IFERROR(__xludf.DUMMYFUNCTION("""COMPUTED_VALUE"""),"MEJIA SOLORZANO JAVIER FERNANDO")</f>
        <v>MEJIA SOLORZANO JAVIER FERNANDO</v>
      </c>
      <c r="C247" s="2" t="str">
        <f>IFERROR(__xludf.DUMMYFUNCTION("""COMPUTED_VALUE"""),"LABORATORIO MEJLAB")</f>
        <v>LABORATORIO MEJLAB</v>
      </c>
      <c r="D247" s="2" t="str">
        <f>IFERROR(__xludf.DUMMYFUNCTION("""COMPUTED_VALUE"""),"0997515976")</f>
        <v>0997515976</v>
      </c>
    </row>
    <row r="248">
      <c r="A248" s="2" t="str">
        <f>IFERROR(__xludf.DUMMYFUNCTION("""COMPUTED_VALUE"""),"1311457418001")</f>
        <v>1311457418001</v>
      </c>
      <c r="B248" s="2" t="str">
        <f>IFERROR(__xludf.DUMMYFUNCTION("""COMPUTED_VALUE"""),"MENDIETA CHINGA ALEX DARIO")</f>
        <v>MENDIETA CHINGA ALEX DARIO</v>
      </c>
      <c r="C248" s="2" t="str">
        <f>IFERROR(__xludf.DUMMYFUNCTION("""COMPUTED_VALUE"""),"MENDIETA CHINGA ALEX DARIO")</f>
        <v>MENDIETA CHINGA ALEX DARIO</v>
      </c>
      <c r="D248" s="2" t="str">
        <f>IFERROR(__xludf.DUMMYFUNCTION("""COMPUTED_VALUE"""),"0962617392")</f>
        <v>0962617392</v>
      </c>
    </row>
    <row r="249">
      <c r="A249" s="2" t="str">
        <f>IFERROR(__xludf.DUMMYFUNCTION("""COMPUTED_VALUE"""),"0908203656001")</f>
        <v>0908203656001</v>
      </c>
      <c r="B249" s="2" t="str">
        <f>IFERROR(__xludf.DUMMYFUNCTION("""COMPUTED_VALUE"""),"MENDOZA APARICIO HOOVER EDERSON")</f>
        <v>MENDOZA APARICIO HOOVER EDERSON</v>
      </c>
      <c r="C249" s="2" t="str">
        <f>IFERROR(__xludf.DUMMYFUNCTION("""COMPUTED_VALUE"""),"CONSULTORIO MENDOZA APARICIO HOOVER EDERSON")</f>
        <v>CONSULTORIO MENDOZA APARICIO HOOVER EDERSON</v>
      </c>
      <c r="D249" s="2" t="str">
        <f>IFERROR(__xludf.DUMMYFUNCTION("""COMPUTED_VALUE"""),"0999184899")</f>
        <v>0999184899</v>
      </c>
    </row>
    <row r="250">
      <c r="A250" s="2" t="str">
        <f>IFERROR(__xludf.DUMMYFUNCTION("""COMPUTED_VALUE"""),"1310667538001")</f>
        <v>1310667538001</v>
      </c>
      <c r="B250" s="2" t="str">
        <f>IFERROR(__xludf.DUMMYFUNCTION("""COMPUTED_VALUE"""),"MENDOZA BONOSO KAREN TATIANA")</f>
        <v>MENDOZA BONOSO KAREN TATIANA</v>
      </c>
      <c r="C250" s="2" t="str">
        <f>IFERROR(__xludf.DUMMYFUNCTION("""COMPUTED_VALUE"""),"MENDOZA BONOSO KAREN TATIANA")</f>
        <v>MENDOZA BONOSO KAREN TATIANA</v>
      </c>
      <c r="D250" s="2" t="str">
        <f>IFERROR(__xludf.DUMMYFUNCTION("""COMPUTED_VALUE"""),"0996018365")</f>
        <v>0996018365</v>
      </c>
    </row>
    <row r="251">
      <c r="A251" s="2" t="str">
        <f>IFERROR(__xludf.DUMMYFUNCTION("""COMPUTED_VALUE"""),"1302482359001")</f>
        <v>1302482359001</v>
      </c>
      <c r="B251" s="2" t="str">
        <f>IFERROR(__xludf.DUMMYFUNCTION("""COMPUTED_VALUE"""),"MENDOZA BRAVO PAULITA ROSSINA")</f>
        <v>MENDOZA BRAVO PAULITA ROSSINA</v>
      </c>
      <c r="C251" s="2" t="str">
        <f>IFERROR(__xludf.DUMMYFUNCTION("""COMPUTED_VALUE"""),"LABORATORIO CLÍNICO CRISVEM")</f>
        <v>LABORATORIO CLÍNICO CRISVEM</v>
      </c>
      <c r="D251" s="2" t="str">
        <f>IFERROR(__xludf.DUMMYFUNCTION("""COMPUTED_VALUE"""),"0984885537")</f>
        <v>0984885537</v>
      </c>
    </row>
    <row r="252">
      <c r="A252" s="2" t="str">
        <f>IFERROR(__xludf.DUMMYFUNCTION("""COMPUTED_VALUE"""),"1309314324001")</f>
        <v>1309314324001</v>
      </c>
      <c r="B252" s="2" t="str">
        <f>IFERROR(__xludf.DUMMYFUNCTION("""COMPUTED_VALUE"""),"MENDOZA FLORES SAMIRA ESTEFANIA")</f>
        <v>MENDOZA FLORES SAMIRA ESTEFANIA</v>
      </c>
      <c r="C252" s="2" t="str">
        <f>IFERROR(__xludf.DUMMYFUNCTION("""COMPUTED_VALUE"""),"CONSULTORIO VETERINARIO PORTOVET")</f>
        <v>CONSULTORIO VETERINARIO PORTOVET</v>
      </c>
      <c r="D252" s="2" t="str">
        <f>IFERROR(__xludf.DUMMYFUNCTION("""COMPUTED_VALUE"""),"0993553040")</f>
        <v>0993553040</v>
      </c>
    </row>
    <row r="253">
      <c r="A253" s="2" t="str">
        <f>IFERROR(__xludf.DUMMYFUNCTION("""COMPUTED_VALUE"""),"1315774644001")</f>
        <v>1315774644001</v>
      </c>
      <c r="B253" s="2" t="str">
        <f>IFERROR(__xludf.DUMMYFUNCTION("""COMPUTED_VALUE"""),"MENDOZA GARCIA LADY ELIZABETH")</f>
        <v>MENDOZA GARCIA LADY ELIZABETH</v>
      </c>
      <c r="C253" s="2" t="str">
        <f>IFERROR(__xludf.DUMMYFUNCTION("""COMPUTED_VALUE"""),"CONSULTORIO MANOS MEDICAS LD")</f>
        <v>CONSULTORIO MANOS MEDICAS LD</v>
      </c>
      <c r="D253" s="2" t="str">
        <f>IFERROR(__xludf.DUMMYFUNCTION("""COMPUTED_VALUE"""),"0982436697")</f>
        <v>0982436697</v>
      </c>
    </row>
    <row r="254">
      <c r="A254" s="2" t="str">
        <f>IFERROR(__xludf.DUMMYFUNCTION("""COMPUTED_VALUE"""),"1311475105001")</f>
        <v>1311475105001</v>
      </c>
      <c r="B254" s="2" t="str">
        <f>IFERROR(__xludf.DUMMYFUNCTION("""COMPUTED_VALUE"""),"MENDOZA GARCIA SASKIA JOSEFA")</f>
        <v>MENDOZA GARCIA SASKIA JOSEFA</v>
      </c>
      <c r="C254" s="2" t="str">
        <f>IFERROR(__xludf.DUMMYFUNCTION("""COMPUTED_VALUE"""),"SASKIA JOSEFA MENDOZA GARCIA")</f>
        <v>SASKIA JOSEFA MENDOZA GARCIA</v>
      </c>
      <c r="D254" s="2" t="str">
        <f>IFERROR(__xludf.DUMMYFUNCTION("""COMPUTED_VALUE"""),"0992732480")</f>
        <v>0992732480</v>
      </c>
    </row>
    <row r="255">
      <c r="A255" s="2" t="str">
        <f>IFERROR(__xludf.DUMMYFUNCTION("""COMPUTED_VALUE"""),"1305204628001")</f>
        <v>1305204628001</v>
      </c>
      <c r="B255" s="2" t="str">
        <f>IFERROR(__xludf.DUMMYFUNCTION("""COMPUTED_VALUE"""),"MENDOZA GOMEZ FELIPE WILFRIDO")</f>
        <v>MENDOZA GOMEZ FELIPE WILFRIDO</v>
      </c>
      <c r="C255" s="2" t="str">
        <f>IFERROR(__xludf.DUMMYFUNCTION("""COMPUTED_VALUE"""),"CONSULTORIO MEDICO DR FELIPE MENDOZA")</f>
        <v>CONSULTORIO MEDICO DR FELIPE MENDOZA</v>
      </c>
      <c r="D255" s="2" t="str">
        <f>IFERROR(__xludf.DUMMYFUNCTION("""COMPUTED_VALUE"""),"0992252989")</f>
        <v>0992252989</v>
      </c>
    </row>
    <row r="256">
      <c r="A256" s="2" t="str">
        <f>IFERROR(__xludf.DUMMYFUNCTION("""COMPUTED_VALUE"""),"1304394354001")</f>
        <v>1304394354001</v>
      </c>
      <c r="B256" s="2" t="str">
        <f>IFERROR(__xludf.DUMMYFUNCTION("""COMPUTED_VALUE"""),"MENDOZA MENDOZA CESAR FIDEL")</f>
        <v>MENDOZA MENDOZA CESAR FIDEL</v>
      </c>
      <c r="C256" s="2" t="str">
        <f>IFERROR(__xludf.DUMMYFUNCTION("""COMPUTED_VALUE"""),"CÉSAR FIDEL MENDOZA MENDOZA")</f>
        <v>CÉSAR FIDEL MENDOZA MENDOZA</v>
      </c>
      <c r="D256" s="2" t="str">
        <f>IFERROR(__xludf.DUMMYFUNCTION("""COMPUTED_VALUE"""),"0987331184")</f>
        <v>0987331184</v>
      </c>
    </row>
    <row r="257">
      <c r="A257" s="2" t="str">
        <f>IFERROR(__xludf.DUMMYFUNCTION("""COMPUTED_VALUE"""),"1003960778001")</f>
        <v>1003960778001</v>
      </c>
      <c r="B257" s="2" t="str">
        <f>IFERROR(__xludf.DUMMYFUNCTION("""COMPUTED_VALUE"""),"MENDOZA PACHECO GEMA JAZMIN")</f>
        <v>MENDOZA PACHECO GEMA JAZMIN</v>
      </c>
      <c r="C257" s="2" t="str">
        <f>IFERROR(__xludf.DUMMYFUNCTION("""COMPUTED_VALUE"""),"LABORATORIO CLINICO YEMLAB")</f>
        <v>LABORATORIO CLINICO YEMLAB</v>
      </c>
      <c r="D257" s="2" t="str">
        <f>IFERROR(__xludf.DUMMYFUNCTION("""COMPUTED_VALUE"""),"0992302299")</f>
        <v>0992302299</v>
      </c>
    </row>
    <row r="258">
      <c r="A258" s="2" t="str">
        <f>IFERROR(__xludf.DUMMYFUNCTION("""COMPUTED_VALUE"""),"1309910469001")</f>
        <v>1309910469001</v>
      </c>
      <c r="B258" s="2" t="str">
        <f>IFERROR(__xludf.DUMMYFUNCTION("""COMPUTED_VALUE"""),"MENDOZA PALMA JIMMY JOSE")</f>
        <v>MENDOZA PALMA JIMMY JOSE</v>
      </c>
      <c r="C258" s="2" t="str">
        <f>IFERROR(__xludf.DUMMYFUNCTION("""COMPUTED_VALUE"""),"PALMA DENTAL EXPERT")</f>
        <v>PALMA DENTAL EXPERT</v>
      </c>
      <c r="D258" s="2" t="str">
        <f>IFERROR(__xludf.DUMMYFUNCTION("""COMPUTED_VALUE"""),"0967503233")</f>
        <v>0967503233</v>
      </c>
    </row>
    <row r="259">
      <c r="A259" s="2" t="str">
        <f>IFERROR(__xludf.DUMMYFUNCTION("""COMPUTED_VALUE"""),"1310148638001")</f>
        <v>1310148638001</v>
      </c>
      <c r="B259" s="2" t="str">
        <f>IFERROR(__xludf.DUMMYFUNCTION("""COMPUTED_VALUE"""),"MENDOZA RODAS JOSE BOSCO")</f>
        <v>MENDOZA RODAS JOSE BOSCO</v>
      </c>
      <c r="C259" s="2" t="str">
        <f>IFERROR(__xludf.DUMMYFUNCTION("""COMPUTED_VALUE"""),"CONSULTORIO DR BOSCO MENDOZA")</f>
        <v>CONSULTORIO DR BOSCO MENDOZA</v>
      </c>
      <c r="D259" s="2" t="str">
        <f>IFERROR(__xludf.DUMMYFUNCTION("""COMPUTED_VALUE"""),"0995663629")</f>
        <v>0995663629</v>
      </c>
    </row>
    <row r="260">
      <c r="A260" s="2" t="str">
        <f>IFERROR(__xludf.DUMMYFUNCTION("""COMPUTED_VALUE"""),"1308306511001")</f>
        <v>1308306511001</v>
      </c>
      <c r="B260" s="2" t="str">
        <f>IFERROR(__xludf.DUMMYFUNCTION("""COMPUTED_VALUE"""),"MENDOZA SANTOS MARIA VALERIA")</f>
        <v>MENDOZA SANTOS MARIA VALERIA</v>
      </c>
      <c r="C260" s="2" t="str">
        <f>IFERROR(__xludf.DUMMYFUNCTION("""COMPUTED_VALUE"""),"ODONTOLOGIA ESPECIALIZADA VALERIA MENDOZA S")</f>
        <v>ODONTOLOGIA ESPECIALIZADA VALERIA MENDOZA S</v>
      </c>
      <c r="D260" s="2" t="str">
        <f>IFERROR(__xludf.DUMMYFUNCTION("""COMPUTED_VALUE"""),"0994078510")</f>
        <v>0994078510</v>
      </c>
    </row>
    <row r="261">
      <c r="A261" s="2" t="str">
        <f>IFERROR(__xludf.DUMMYFUNCTION("""COMPUTED_VALUE"""),"1309128724001")</f>
        <v>1309128724001</v>
      </c>
      <c r="B261" s="2" t="str">
        <f>IFERROR(__xludf.DUMMYFUNCTION("""COMPUTED_VALUE"""),"MENDOZA SANTOS MARIA VARYNIA")</f>
        <v>MENDOZA SANTOS MARIA VARYNIA</v>
      </c>
      <c r="C261" s="2" t="str">
        <f>IFERROR(__xludf.DUMMYFUNCTION("""COMPUTED_VALUE"""),"GRUPO HOMESA HONORARIOS MEDICOS Y SERVICIOS ASOCIADOS")</f>
        <v>GRUPO HOMESA HONORARIOS MEDICOS Y SERVICIOS ASOCIADOS</v>
      </c>
      <c r="D261" s="2" t="str">
        <f>IFERROR(__xludf.DUMMYFUNCTION("""COMPUTED_VALUE"""),"0988680789")</f>
        <v>0988680789</v>
      </c>
    </row>
    <row r="262">
      <c r="A262" s="2" t="str">
        <f>IFERROR(__xludf.DUMMYFUNCTION("""COMPUTED_VALUE"""),"1311761249001")</f>
        <v>1311761249001</v>
      </c>
      <c r="B262" s="2" t="str">
        <f>IFERROR(__xludf.DUMMYFUNCTION("""COMPUTED_VALUE"""),"MENDOZA SOLORZANO ERNESTO EMMANUEL")</f>
        <v>MENDOZA SOLORZANO ERNESTO EMMANUEL</v>
      </c>
      <c r="C262" s="2" t="str">
        <f>IFERROR(__xludf.DUMMYFUNCTION("""COMPUTED_VALUE"""),"DENTAL SMILE DESIGN")</f>
        <v>DENTAL SMILE DESIGN</v>
      </c>
      <c r="D262" s="2" t="str">
        <f>IFERROR(__xludf.DUMMYFUNCTION("""COMPUTED_VALUE"""),"0969691783")</f>
        <v>0969691783</v>
      </c>
    </row>
    <row r="263">
      <c r="A263" s="2" t="str">
        <f>IFERROR(__xludf.DUMMYFUNCTION("""COMPUTED_VALUE"""),"1315953305001")</f>
        <v>1315953305001</v>
      </c>
      <c r="B263" s="2" t="str">
        <f>IFERROR(__xludf.DUMMYFUNCTION("""COMPUTED_VALUE"""),"MENDOZA VELEZ GRACE MONSERRATE")</f>
        <v>MENDOZA VELEZ GRACE MONSERRATE</v>
      </c>
      <c r="C263" s="2" t="str">
        <f>IFERROR(__xludf.DUMMYFUNCTION("""COMPUTED_VALUE"""),"CONSULTORIO MEDICO DRA GRACE")</f>
        <v>CONSULTORIO MEDICO DRA GRACE</v>
      </c>
      <c r="D263" s="2" t="str">
        <f>IFERROR(__xludf.DUMMYFUNCTION("""COMPUTED_VALUE"""),"0994311295")</f>
        <v>0994311295</v>
      </c>
    </row>
    <row r="264">
      <c r="A264" s="2" t="str">
        <f>IFERROR(__xludf.DUMMYFUNCTION("""COMPUTED_VALUE"""),"1312124702001")</f>
        <v>1312124702001</v>
      </c>
      <c r="B264" s="2" t="str">
        <f>IFERROR(__xludf.DUMMYFUNCTION("""COMPUTED_VALUE"""),"MENENDEZ CARREÑO HECTOR ALEXANDER")</f>
        <v>MENENDEZ CARREÑO HECTOR ALEXANDER</v>
      </c>
      <c r="C264" s="2" t="str">
        <f>IFERROR(__xludf.DUMMYFUNCTION("""COMPUTED_VALUE"""),"OD. HÉCTOR MENÉNDEZ / ODONTOLOGIA INTEGRAL")</f>
        <v>OD. HÉCTOR MENÉNDEZ / ODONTOLOGIA INTEGRAL</v>
      </c>
      <c r="D264" s="2" t="str">
        <f>IFERROR(__xludf.DUMMYFUNCTION("""COMPUTED_VALUE"""),"0987446373")</f>
        <v>0987446373</v>
      </c>
    </row>
    <row r="265">
      <c r="A265" s="2" t="str">
        <f>IFERROR(__xludf.DUMMYFUNCTION("""COMPUTED_VALUE"""),"1305168328001")</f>
        <v>1305168328001</v>
      </c>
      <c r="B265" s="2" t="str">
        <f>IFERROR(__xludf.DUMMYFUNCTION("""COMPUTED_VALUE"""),"MENENDEZ ROLDAN RAUL FERNANDO")</f>
        <v>MENENDEZ ROLDAN RAUL FERNANDO</v>
      </c>
      <c r="C265" s="2" t="str">
        <f>IFERROR(__xludf.DUMMYFUNCTION("""COMPUTED_VALUE"""),"MENENDEZ ROLDAN RAUL FERNANDO")</f>
        <v>MENENDEZ ROLDAN RAUL FERNANDO</v>
      </c>
      <c r="D265" s="2" t="str">
        <f>IFERROR(__xludf.DUMMYFUNCTION("""COMPUTED_VALUE"""),"0980421470")</f>
        <v>0980421470</v>
      </c>
    </row>
    <row r="266">
      <c r="A266" s="2" t="str">
        <f>IFERROR(__xludf.DUMMYFUNCTION("""COMPUTED_VALUE"""),"1312869165001")</f>
        <v>1312869165001</v>
      </c>
      <c r="B266" s="2" t="str">
        <f>IFERROR(__xludf.DUMMYFUNCTION("""COMPUTED_VALUE"""),"MERA DELGADO GLORIA ESTEFANIA")</f>
        <v>MERA DELGADO GLORIA ESTEFANIA</v>
      </c>
      <c r="C266" s="2" t="str">
        <f>IFERROR(__xludf.DUMMYFUNCTION("""COMPUTED_VALUE"""),"CLÍNICA DENTAL GEMDENTAL")</f>
        <v>CLÍNICA DENTAL GEMDENTAL</v>
      </c>
      <c r="D266" s="2" t="str">
        <f>IFERROR(__xludf.DUMMYFUNCTION("""COMPUTED_VALUE"""),"0962796361")</f>
        <v>0962796361</v>
      </c>
    </row>
    <row r="267">
      <c r="A267" s="2" t="str">
        <f>IFERROR(__xludf.DUMMYFUNCTION("""COMPUTED_VALUE"""),"1311737629001")</f>
        <v>1311737629001</v>
      </c>
      <c r="B267" s="2" t="str">
        <f>IFERROR(__xludf.DUMMYFUNCTION("""COMPUTED_VALUE"""),"MERA VARGAS SERGIO HERIBERTO")</f>
        <v>MERA VARGAS SERGIO HERIBERTO</v>
      </c>
      <c r="C267" s="2" t="str">
        <f>IFERROR(__xludf.DUMMYFUNCTION("""COMPUTED_VALUE"""),"PORTOSMILE")</f>
        <v>PORTOSMILE</v>
      </c>
      <c r="D267" s="2" t="str">
        <f>IFERROR(__xludf.DUMMYFUNCTION("""COMPUTED_VALUE"""),"0962611308")</f>
        <v>0962611308</v>
      </c>
    </row>
    <row r="268">
      <c r="A268" s="2" t="str">
        <f>IFERROR(__xludf.DUMMYFUNCTION("""COMPUTED_VALUE"""),"1311302911001")</f>
        <v>1311302911001</v>
      </c>
      <c r="B268" s="2" t="str">
        <f>IFERROR(__xludf.DUMMYFUNCTION("""COMPUTED_VALUE"""),"MEZA ANTON MARIA JOSE")</f>
        <v>MEZA ANTON MARIA JOSE</v>
      </c>
      <c r="C268" s="2" t="str">
        <f>IFERROR(__xludf.DUMMYFUNCTION("""COMPUTED_VALUE"""),"CONSULTORIO MEDICO CEDIM")</f>
        <v>CONSULTORIO MEDICO CEDIM</v>
      </c>
      <c r="D268" s="2" t="str">
        <f>IFERROR(__xludf.DUMMYFUNCTION("""COMPUTED_VALUE"""),"0991611718")</f>
        <v>0991611718</v>
      </c>
    </row>
    <row r="269">
      <c r="A269" s="2" t="str">
        <f>IFERROR(__xludf.DUMMYFUNCTION("""COMPUTED_VALUE"""),"1309167003001")</f>
        <v>1309167003001</v>
      </c>
      <c r="B269" s="2" t="str">
        <f>IFERROR(__xludf.DUMMYFUNCTION("""COMPUTED_VALUE"""),"MIRANDA TORRES CARLOS AUGUSTO")</f>
        <v>MIRANDA TORRES CARLOS AUGUSTO</v>
      </c>
      <c r="C269" s="2" t="str">
        <f>IFERROR(__xludf.DUMMYFUNCTION("""COMPUTED_VALUE"""),"CARE 360 DENTAL &amp; FACE STUDIO")</f>
        <v>CARE 360 DENTAL &amp; FACE STUDIO</v>
      </c>
      <c r="D269" s="2" t="str">
        <f>IFERROR(__xludf.DUMMYFUNCTION("""COMPUTED_VALUE"""),"0990857103")</f>
        <v>0990857103</v>
      </c>
    </row>
    <row r="270">
      <c r="A270" s="2" t="str">
        <f>IFERROR(__xludf.DUMMYFUNCTION("""COMPUTED_VALUE"""),"1309167011001")</f>
        <v>1309167011001</v>
      </c>
      <c r="B270" s="2" t="str">
        <f>IFERROR(__xludf.DUMMYFUNCTION("""COMPUTED_VALUE"""),"MIRANDA TORRES LISSETTE JULIETA")</f>
        <v>MIRANDA TORRES LISSETTE JULIETA</v>
      </c>
      <c r="C270" s="2" t="str">
        <f>IFERROR(__xludf.DUMMYFUNCTION("""COMPUTED_VALUE"""),"CONSULRORIO DENTAL ACODENTAL")</f>
        <v>CONSULRORIO DENTAL ACODENTAL</v>
      </c>
      <c r="D270" s="2" t="str">
        <f>IFERROR(__xludf.DUMMYFUNCTION("""COMPUTED_VALUE"""),"0986990657")</f>
        <v>0986990657</v>
      </c>
    </row>
    <row r="271">
      <c r="A271" s="2" t="str">
        <f>IFERROR(__xludf.DUMMYFUNCTION("""COMPUTED_VALUE"""),"0905575734001")</f>
        <v>0905575734001</v>
      </c>
      <c r="B271" s="2" t="str">
        <f>IFERROR(__xludf.DUMMYFUNCTION("""COMPUTED_VALUE"""),"MIRANDA VACA JOSE GERARDO")</f>
        <v>MIRANDA VACA JOSE GERARDO</v>
      </c>
      <c r="C271" s="2" t="str">
        <f>IFERROR(__xludf.DUMMYFUNCTION("""COMPUTED_VALUE"""),"CONSULTORIO DENTAL MIRANDA")</f>
        <v>CONSULTORIO DENTAL MIRANDA</v>
      </c>
      <c r="D271" s="2" t="str">
        <f>IFERROR(__xludf.DUMMYFUNCTION("""COMPUTED_VALUE"""),"0993236821")</f>
        <v>0993236821</v>
      </c>
    </row>
    <row r="272">
      <c r="A272" s="2" t="str">
        <f>IFERROR(__xludf.DUMMYFUNCTION("""COMPUTED_VALUE"""),"1310051600001")</f>
        <v>1310051600001</v>
      </c>
      <c r="B272" s="2" t="str">
        <f>IFERROR(__xludf.DUMMYFUNCTION("""COMPUTED_VALUE"""),"MOLINA CEDEÑO GLENNY PATRICIA")</f>
        <v>MOLINA CEDEÑO GLENNY PATRICIA</v>
      </c>
      <c r="C272" s="2" t="str">
        <f>IFERROR(__xludf.DUMMYFUNCTION("""COMPUTED_VALUE"""),"LABORATORIO CLINICO SANTA LUCIA")</f>
        <v>LABORATORIO CLINICO SANTA LUCIA</v>
      </c>
      <c r="D272" s="2" t="str">
        <f>IFERROR(__xludf.DUMMYFUNCTION("""COMPUTED_VALUE"""),"0968360936")</f>
        <v>0968360936</v>
      </c>
    </row>
    <row r="273">
      <c r="A273" s="2" t="str">
        <f>IFERROR(__xludf.DUMMYFUNCTION("""COMPUTED_VALUE"""),"1312632076001")</f>
        <v>1312632076001</v>
      </c>
      <c r="B273" s="2" t="str">
        <f>IFERROR(__xludf.DUMMYFUNCTION("""COMPUTED_VALUE"""),"MOLINA CEDEÑO MARIA JOSE")</f>
        <v>MOLINA CEDEÑO MARIA JOSE</v>
      </c>
      <c r="C273" s="2" t="str">
        <f>IFERROR(__xludf.DUMMYFUNCTION("""COMPUTED_VALUE"""),"INFINIA")</f>
        <v>INFINIA</v>
      </c>
      <c r="D273" s="2" t="str">
        <f>IFERROR(__xludf.DUMMYFUNCTION("""COMPUTED_VALUE"""),"0982279107")</f>
        <v>0982279107</v>
      </c>
    </row>
    <row r="274">
      <c r="A274" s="2" t="str">
        <f>IFERROR(__xludf.DUMMYFUNCTION("""COMPUTED_VALUE"""),"1312211061001")</f>
        <v>1312211061001</v>
      </c>
      <c r="B274" s="2" t="str">
        <f>IFERROR(__xludf.DUMMYFUNCTION("""COMPUTED_VALUE"""),"MOLINA ZAMBRANO JOSE ALEJANDRO")</f>
        <v>MOLINA ZAMBRANO JOSE ALEJANDRO</v>
      </c>
      <c r="C274" s="2" t="str">
        <f>IFERROR(__xludf.DUMMYFUNCTION("""COMPUTED_VALUE"""),"NOVASALUD")</f>
        <v>NOVASALUD</v>
      </c>
      <c r="D274" s="2" t="str">
        <f>IFERROR(__xludf.DUMMYFUNCTION("""COMPUTED_VALUE"""),"0996911105")</f>
        <v>0996911105</v>
      </c>
    </row>
    <row r="275">
      <c r="A275" s="2" t="str">
        <f>IFERROR(__xludf.DUMMYFUNCTION("""COMPUTED_VALUE"""),"1305495531001")</f>
        <v>1305495531001</v>
      </c>
      <c r="B275" s="2" t="str">
        <f>IFERROR(__xludf.DUMMYFUNCTION("""COMPUTED_VALUE"""),"MONTANO GUERRERO MARTHA KATIUSKA")</f>
        <v>MONTANO GUERRERO MARTHA KATIUSKA</v>
      </c>
      <c r="C275" s="2" t="str">
        <f>IFERROR(__xludf.DUMMYFUNCTION("""COMPUTED_VALUE"""),"DENTALK")</f>
        <v>DENTALK</v>
      </c>
      <c r="D275" s="2" t="str">
        <f>IFERROR(__xludf.DUMMYFUNCTION("""COMPUTED_VALUE"""),"0998189667")</f>
        <v>0998189667</v>
      </c>
    </row>
    <row r="276">
      <c r="A276" s="2" t="str">
        <f>IFERROR(__xludf.DUMMYFUNCTION("""COMPUTED_VALUE"""),"1309288510001")</f>
        <v>1309288510001</v>
      </c>
      <c r="B276" s="2" t="str">
        <f>IFERROR(__xludf.DUMMYFUNCTION("""COMPUTED_VALUE"""),"MORA SOLORZANO MATILDE MARIELA")</f>
        <v>MORA SOLORZANO MATILDE MARIELA</v>
      </c>
      <c r="C276" s="2" t="str">
        <f>IFERROR(__xludf.DUMMYFUNCTION("""COMPUTED_VALUE"""),"CONSULTORIO DERMATOLOGICO MARIELA MORA")</f>
        <v>CONSULTORIO DERMATOLOGICO MARIELA MORA</v>
      </c>
      <c r="D276" s="2" t="str">
        <f>IFERROR(__xludf.DUMMYFUNCTION("""COMPUTED_VALUE"""),"0999783402")</f>
        <v>0999783402</v>
      </c>
    </row>
    <row r="277">
      <c r="A277" s="2" t="str">
        <f>IFERROR(__xludf.DUMMYFUNCTION("""COMPUTED_VALUE"""),"1312696014001")</f>
        <v>1312696014001</v>
      </c>
      <c r="B277" s="2" t="str">
        <f>IFERROR(__xludf.DUMMYFUNCTION("""COMPUTED_VALUE"""),"MORALES BARCIA CARLOS LUIS")</f>
        <v>MORALES BARCIA CARLOS LUIS</v>
      </c>
      <c r="C277" s="2" t="str">
        <f>IFERROR(__xludf.DUMMYFUNCTION("""COMPUTED_VALUE"""),"ESTUDIO DE SALUD ODONTOBUCAL")</f>
        <v>ESTUDIO DE SALUD ODONTOBUCAL</v>
      </c>
      <c r="D277" s="2" t="str">
        <f>IFERROR(__xludf.DUMMYFUNCTION("""COMPUTED_VALUE"""),"0987198106")</f>
        <v>0987198106</v>
      </c>
    </row>
    <row r="278">
      <c r="A278" s="2" t="str">
        <f>IFERROR(__xludf.DUMMYFUNCTION("""COMPUTED_VALUE"""),"1308243755001")</f>
        <v>1308243755001</v>
      </c>
      <c r="B278" s="2" t="str">
        <f>IFERROR(__xludf.DUMMYFUNCTION("""COMPUTED_VALUE"""),"MORALES BAZURTO MARIUXI MONSERRATE")</f>
        <v>MORALES BAZURTO MARIUXI MONSERRATE</v>
      </c>
      <c r="C278" s="2" t="str">
        <f>IFERROR(__xludf.DUMMYFUNCTION("""COMPUTED_VALUE"""),"VARILHMEDICAL")</f>
        <v>VARILHMEDICAL</v>
      </c>
      <c r="D278" s="2" t="str">
        <f>IFERROR(__xludf.DUMMYFUNCTION("""COMPUTED_VALUE"""),"0998900018")</f>
        <v>0998900018</v>
      </c>
    </row>
    <row r="279">
      <c r="A279" s="2" t="str">
        <f>IFERROR(__xludf.DUMMYFUNCTION("""COMPUTED_VALUE"""),"1310551179001")</f>
        <v>1310551179001</v>
      </c>
      <c r="B279" s="2" t="str">
        <f>IFERROR(__xludf.DUMMYFUNCTION("""COMPUTED_VALUE"""),"MORAN ROLDAN OSWALDO BLADIMIR")</f>
        <v>MORAN ROLDAN OSWALDO BLADIMIR</v>
      </c>
      <c r="C279" s="2" t="str">
        <f>IFERROR(__xludf.DUMMYFUNCTION("""COMPUTED_VALUE"""),"CENTRO VETERINARIO MASCOTAS CON ESTILO")</f>
        <v>CENTRO VETERINARIO MASCOTAS CON ESTILO</v>
      </c>
      <c r="D279" s="2" t="str">
        <f>IFERROR(__xludf.DUMMYFUNCTION("""COMPUTED_VALUE"""),"0999857024")</f>
        <v>0999857024</v>
      </c>
    </row>
    <row r="280">
      <c r="A280" s="2" t="str">
        <f>IFERROR(__xludf.DUMMYFUNCTION("""COMPUTED_VALUE"""),"1309684775001")</f>
        <v>1309684775001</v>
      </c>
      <c r="B280" s="2" t="str">
        <f>IFERROR(__xludf.DUMMYFUNCTION("""COMPUTED_VALUE"""),"MOREIRA ALCIVAR WAGNER ENRIQUE")</f>
        <v>MOREIRA ALCIVAR WAGNER ENRIQUE</v>
      </c>
      <c r="C280" s="2" t="str">
        <f>IFERROR(__xludf.DUMMYFUNCTION("""COMPUTED_VALUE"""),"PELUQUERÍA UNISEX EL CHINO")</f>
        <v>PELUQUERÍA UNISEX EL CHINO</v>
      </c>
      <c r="D280" s="2" t="str">
        <f>IFERROR(__xludf.DUMMYFUNCTION("""COMPUTED_VALUE"""),"0997476064")</f>
        <v>0997476064</v>
      </c>
    </row>
    <row r="281">
      <c r="A281" s="2" t="str">
        <f>IFERROR(__xludf.DUMMYFUNCTION("""COMPUTED_VALUE"""),"1312094178001")</f>
        <v>1312094178001</v>
      </c>
      <c r="B281" s="2" t="str">
        <f>IFERROR(__xludf.DUMMYFUNCTION("""COMPUTED_VALUE"""),"MOREIRA PEÑA CRISTHIAN RENAN")</f>
        <v>MOREIRA PEÑA CRISTHIAN RENAN</v>
      </c>
      <c r="C281" s="2" t="str">
        <f>IFERROR(__xludf.DUMMYFUNCTION("""COMPUTED_VALUE"""),"DR CRISTHIAN MOREIRA PEÑA ODONTOLOGIA ESPECIALIZADA")</f>
        <v>DR CRISTHIAN MOREIRA PEÑA ODONTOLOGIA ESPECIALIZADA</v>
      </c>
      <c r="D281" s="2" t="str">
        <f>IFERROR(__xludf.DUMMYFUNCTION("""COMPUTED_VALUE"""),"0967259069")</f>
        <v>0967259069</v>
      </c>
    </row>
    <row r="282">
      <c r="A282" s="2" t="str">
        <f>IFERROR(__xludf.DUMMYFUNCTION("""COMPUTED_VALUE"""),"1311099210001")</f>
        <v>1311099210001</v>
      </c>
      <c r="B282" s="2" t="str">
        <f>IFERROR(__xludf.DUMMYFUNCTION("""COMPUTED_VALUE"""),"MOSQUERA PINARGOTE GERALDINE ANDREA")</f>
        <v>MOSQUERA PINARGOTE GERALDINE ANDREA</v>
      </c>
      <c r="C282" s="2" t="str">
        <f>IFERROR(__xludf.DUMMYFUNCTION("""COMPUTED_VALUE"""),"CENTRO ODONTOLOGICO FUNDACION EMMA COSMETIC 2")</f>
        <v>CENTRO ODONTOLOGICO FUNDACION EMMA COSMETIC 2</v>
      </c>
      <c r="D282" s="2" t="str">
        <f>IFERROR(__xludf.DUMMYFUNCTION("""COMPUTED_VALUE"""),"0996514131")</f>
        <v>0996514131</v>
      </c>
    </row>
    <row r="283">
      <c r="A283" s="2" t="str">
        <f>IFERROR(__xludf.DUMMYFUNCTION("""COMPUTED_VALUE"""),"1312299058001")</f>
        <v>1312299058001</v>
      </c>
      <c r="B283" s="2" t="str">
        <f>IFERROR(__xludf.DUMMYFUNCTION("""COMPUTED_VALUE"""),"MUÑOZ RODRIGUEZ CRISTIAN FABIAN")</f>
        <v>MUÑOZ RODRIGUEZ CRISTIAN FABIAN</v>
      </c>
      <c r="C283" s="2" t="str">
        <f>IFERROR(__xludf.DUMMYFUNCTION("""COMPUTED_VALUE"""),"LABORATORIO CLINICO FALAB")</f>
        <v>LABORATORIO CLINICO FALAB</v>
      </c>
      <c r="D283" s="2" t="str">
        <f>IFERROR(__xludf.DUMMYFUNCTION("""COMPUTED_VALUE"""),"0992451021")</f>
        <v>0992451021</v>
      </c>
    </row>
    <row r="284">
      <c r="A284" s="2" t="str">
        <f>IFERROR(__xludf.DUMMYFUNCTION("""COMPUTED_VALUE"""),"1311803157001")</f>
        <v>1311803157001</v>
      </c>
      <c r="B284" s="2" t="str">
        <f>IFERROR(__xludf.DUMMYFUNCTION("""COMPUTED_VALUE"""),"MUÑOZ YENCHONG LEONARDO SEBASTIAN")</f>
        <v>MUÑOZ YENCHONG LEONARDO SEBASTIAN</v>
      </c>
      <c r="C284" s="2" t="str">
        <f>IFERROR(__xludf.DUMMYFUNCTION("""COMPUTED_VALUE"""),"DUO DEN")</f>
        <v>DUO DEN</v>
      </c>
      <c r="D284" s="2" t="str">
        <f>IFERROR(__xludf.DUMMYFUNCTION("""COMPUTED_VALUE"""),"0985240372")</f>
        <v>0985240372</v>
      </c>
    </row>
    <row r="285">
      <c r="A285" s="2" t="str">
        <f>IFERROR(__xludf.DUMMYFUNCTION("""COMPUTED_VALUE"""),"1350104814001")</f>
        <v>1350104814001</v>
      </c>
      <c r="B285" s="2" t="str">
        <f>IFERROR(__xludf.DUMMYFUNCTION("""COMPUTED_VALUE"""),"NARANJO PARRAGA MARCIA IVETH")</f>
        <v>NARANJO PARRAGA MARCIA IVETH</v>
      </c>
      <c r="C285" s="2" t="str">
        <f>IFERROR(__xludf.DUMMYFUNCTION("""COMPUTED_VALUE"""),"NARANJO CONSULTORIO ODONTOLOGICO")</f>
        <v>NARANJO CONSULTORIO ODONTOLOGICO</v>
      </c>
      <c r="D285" s="2" t="str">
        <f>IFERROR(__xludf.DUMMYFUNCTION("""COMPUTED_VALUE"""),"0967217427")</f>
        <v>0967217427</v>
      </c>
    </row>
    <row r="286">
      <c r="A286" s="2" t="str">
        <f>IFERROR(__xludf.DUMMYFUNCTION("""COMPUTED_VALUE"""),"1201679964001")</f>
        <v>1201679964001</v>
      </c>
      <c r="B286" s="2" t="str">
        <f>IFERROR(__xludf.DUMMYFUNCTION("""COMPUTED_VALUE"""),"NARANJO ROJAS XIOMARA ALEXANDRA")</f>
        <v>NARANJO ROJAS XIOMARA ALEXANDRA</v>
      </c>
      <c r="C286" s="2" t="str">
        <f>IFERROR(__xludf.DUMMYFUNCTION("""COMPUTED_VALUE"""),"CONSULTORIO DENTAL MI DENTISTA")</f>
        <v>CONSULTORIO DENTAL MI DENTISTA</v>
      </c>
      <c r="D286" s="2" t="str">
        <f>IFERROR(__xludf.DUMMYFUNCTION("""COMPUTED_VALUE"""),"0999359036")</f>
        <v>0999359036</v>
      </c>
    </row>
    <row r="287">
      <c r="A287" s="2" t="str">
        <f>IFERROR(__xludf.DUMMYFUNCTION("""COMPUTED_VALUE"""),"1303960213001")</f>
        <v>1303960213001</v>
      </c>
      <c r="B287" s="2" t="str">
        <f>IFERROR(__xludf.DUMMYFUNCTION("""COMPUTED_VALUE"""),"NAVARRETE MENENDEZ BERNARDITA GENOVEVA DE LAS MERCEDES")</f>
        <v>NAVARRETE MENENDEZ BERNARDITA GENOVEVA DE LAS MERCEDES</v>
      </c>
      <c r="C287" s="2" t="str">
        <f>IFERROR(__xludf.DUMMYFUNCTION("""COMPUTED_VALUE"""),"SMILE SHINE DENTAL")</f>
        <v>SMILE SHINE DENTAL</v>
      </c>
      <c r="D287" s="2" t="str">
        <f>IFERROR(__xludf.DUMMYFUNCTION("""COMPUTED_VALUE"""),"0996585520")</f>
        <v>0996585520</v>
      </c>
    </row>
    <row r="288">
      <c r="A288" s="2" t="str">
        <f>IFERROR(__xludf.DUMMYFUNCTION("""COMPUTED_VALUE"""),"1311326613001")</f>
        <v>1311326613001</v>
      </c>
      <c r="B288" s="2" t="str">
        <f>IFERROR(__xludf.DUMMYFUNCTION("""COMPUTED_VALUE"""),"NEGRETE PICO CHRISTIAN SANTIAGO")</f>
        <v>NEGRETE PICO CHRISTIAN SANTIAGO</v>
      </c>
      <c r="C288" s="2" t="str">
        <f>IFERROR(__xludf.DUMMYFUNCTION("""COMPUTED_VALUE"""),"CONSULTORIO DR SANTIAGO NEGRETE")</f>
        <v>CONSULTORIO DR SANTIAGO NEGRETE</v>
      </c>
      <c r="D288" s="2" t="str">
        <f>IFERROR(__xludf.DUMMYFUNCTION("""COMPUTED_VALUE"""),"0967206642")</f>
        <v>0967206642</v>
      </c>
    </row>
    <row r="289">
      <c r="A289" s="2" t="str">
        <f>IFERROR(__xludf.DUMMYFUNCTION("""COMPUTED_VALUE"""),"1391746563001")</f>
        <v>1391746563001</v>
      </c>
      <c r="B289" s="2" t="str">
        <f>IFERROR(__xludf.DUMMYFUNCTION("""COMPUTED_VALUE"""),"NEMUNDI S.A.")</f>
        <v>NEMUNDI S.A.</v>
      </c>
      <c r="C289" s="2" t="str">
        <f>IFERROR(__xludf.DUMMYFUNCTION("""COMPUTED_VALUE"""),"MOTEL ILUSIONES")</f>
        <v>MOTEL ILUSIONES</v>
      </c>
      <c r="D289" s="2" t="str">
        <f>IFERROR(__xludf.DUMMYFUNCTION("""COMPUTED_VALUE"""),"0960523014")</f>
        <v>0960523014</v>
      </c>
    </row>
    <row r="290">
      <c r="A290" s="2" t="str">
        <f>IFERROR(__xludf.DUMMYFUNCTION("""COMPUTED_VALUE"""),"0992733209001")</f>
        <v>0992733209001</v>
      </c>
      <c r="B290" s="2" t="str">
        <f>IFERROR(__xludf.DUMMYFUNCTION("""COMPUTED_VALUE"""),"NICANCOR S.A.")</f>
        <v>NICANCOR S.A.</v>
      </c>
      <c r="C290" s="2" t="str">
        <f>IFERROR(__xludf.DUMMYFUNCTION("""COMPUTED_VALUE"""),"CENTRO DE DIÁLISIS RENACER")</f>
        <v>CENTRO DE DIÁLISIS RENACER</v>
      </c>
      <c r="D290" s="2" t="str">
        <f>IFERROR(__xludf.DUMMYFUNCTION("""COMPUTED_VALUE"""),"0959495360")</f>
        <v>0959495360</v>
      </c>
    </row>
    <row r="291">
      <c r="A291" s="2" t="str">
        <f>IFERROR(__xludf.DUMMYFUNCTION("""COMPUTED_VALUE"""),"1310983745001")</f>
        <v>1310983745001</v>
      </c>
      <c r="B291" s="2" t="str">
        <f>IFERROR(__xludf.DUMMYFUNCTION("""COMPUTED_VALUE"""),"ORDOÑEZ RAMOS YENNY DEL CARMEN")</f>
        <v>ORDOÑEZ RAMOS YENNY DEL CARMEN</v>
      </c>
      <c r="C291" s="2" t="str">
        <f>IFERROR(__xludf.DUMMYFUNCTION("""COMPUTED_VALUE"""),"CONSULTORIO DENTAL NUEVA SONRISA")</f>
        <v>CONSULTORIO DENTAL NUEVA SONRISA</v>
      </c>
      <c r="D291" s="2" t="str">
        <f>IFERROR(__xludf.DUMMYFUNCTION("""COMPUTED_VALUE"""),"0981019094")</f>
        <v>0981019094</v>
      </c>
    </row>
    <row r="292">
      <c r="A292" s="2" t="str">
        <f>IFERROR(__xludf.DUMMYFUNCTION("""COMPUTED_VALUE"""),"1309145587001")</f>
        <v>1309145587001</v>
      </c>
      <c r="B292" s="2" t="str">
        <f>IFERROR(__xludf.DUMMYFUNCTION("""COMPUTED_VALUE"""),"ORTIZ GARCIA MARIXA MISNEYI")</f>
        <v>ORTIZ GARCIA MARIXA MISNEYI</v>
      </c>
      <c r="C292" s="2" t="str">
        <f>IFERROR(__xludf.DUMMYFUNCTION("""COMPUTED_VALUE"""),"LABORATORIO CLÍNICO LÓPEZ")</f>
        <v>LABORATORIO CLÍNICO LÓPEZ</v>
      </c>
      <c r="D292" s="2" t="str">
        <f>IFERROR(__xludf.DUMMYFUNCTION("""COMPUTED_VALUE"""),"0992011807")</f>
        <v>0992011807</v>
      </c>
    </row>
    <row r="293">
      <c r="A293" s="2" t="str">
        <f>IFERROR(__xludf.DUMMYFUNCTION("""COMPUTED_VALUE"""),"1310939747001")</f>
        <v>1310939747001</v>
      </c>
      <c r="B293" s="2" t="str">
        <f>IFERROR(__xludf.DUMMYFUNCTION("""COMPUTED_VALUE"""),"ORTIZ HERNANDEZ MARTHA ELIZABETH")</f>
        <v>ORTIZ HERNANDEZ MARTHA ELIZABETH</v>
      </c>
      <c r="C293" s="2" t="str">
        <f>IFERROR(__xludf.DUMMYFUNCTION("""COMPUTED_VALUE"""),"MARTHA ORTIZ HERNÁNDEZ")</f>
        <v>MARTHA ORTIZ HERNÁNDEZ</v>
      </c>
      <c r="D293" s="2" t="str">
        <f>IFERROR(__xludf.DUMMYFUNCTION("""COMPUTED_VALUE"""),"0989808831")</f>
        <v>0989808831</v>
      </c>
    </row>
    <row r="294">
      <c r="A294" s="2" t="str">
        <f>IFERROR(__xludf.DUMMYFUNCTION("""COMPUTED_VALUE"""),"0900572108001")</f>
        <v>0900572108001</v>
      </c>
      <c r="B294" s="2" t="str">
        <f>IFERROR(__xludf.DUMMYFUNCTION("""COMPUTED_VALUE"""),"ORTIZ ORDOÑEZ JOHNNY WALTER")</f>
        <v>ORTIZ ORDOÑEZ JOHNNY WALTER</v>
      </c>
      <c r="C294" s="2" t="str">
        <f>IFERROR(__xludf.DUMMYFUNCTION("""COMPUTED_VALUE"""),"UNIMEDICA ORTIZ")</f>
        <v>UNIMEDICA ORTIZ</v>
      </c>
      <c r="D294" s="2" t="str">
        <f>IFERROR(__xludf.DUMMYFUNCTION("""COMPUTED_VALUE"""),"0998171546")</f>
        <v>0998171546</v>
      </c>
    </row>
    <row r="295">
      <c r="A295" s="2" t="str">
        <f>IFERROR(__xludf.DUMMYFUNCTION("""COMPUTED_VALUE"""),"1314289347001")</f>
        <v>1314289347001</v>
      </c>
      <c r="B295" s="2" t="str">
        <f>IFERROR(__xludf.DUMMYFUNCTION("""COMPUTED_VALUE"""),"PACHAY QUIROZ CRISTINA MERCEDES")</f>
        <v>PACHAY QUIROZ CRISTINA MERCEDES</v>
      </c>
      <c r="C295" s="2" t="str">
        <f>IFERROR(__xludf.DUMMYFUNCTION("""COMPUTED_VALUE"""),"TESTLAB")</f>
        <v>TESTLAB</v>
      </c>
      <c r="D295" s="2" t="str">
        <f>IFERROR(__xludf.DUMMYFUNCTION("""COMPUTED_VALUE"""),"0984416683")</f>
        <v>0984416683</v>
      </c>
    </row>
    <row r="296">
      <c r="A296" s="2" t="str">
        <f>IFERROR(__xludf.DUMMYFUNCTION("""COMPUTED_VALUE"""),"1309063160001")</f>
        <v>1309063160001</v>
      </c>
      <c r="B296" s="2" t="str">
        <f>IFERROR(__xludf.DUMMYFUNCTION("""COMPUTED_VALUE"""),"PACHAY SOLORZANO JORGE WASHINGTON")</f>
        <v>PACHAY SOLORZANO JORGE WASHINGTON</v>
      </c>
      <c r="C296" s="2" t="str">
        <f>IFERROR(__xludf.DUMMYFUNCTION("""COMPUTED_VALUE"""),"LABORATORIO CLINICO SIGMA")</f>
        <v>LABORATORIO CLINICO SIGMA</v>
      </c>
      <c r="D296" s="2" t="str">
        <f>IFERROR(__xludf.DUMMYFUNCTION("""COMPUTED_VALUE"""),"0992081084")</f>
        <v>0992081084</v>
      </c>
    </row>
    <row r="297">
      <c r="A297" s="2" t="str">
        <f>IFERROR(__xludf.DUMMYFUNCTION("""COMPUTED_VALUE"""),"1306307297001")</f>
        <v>1306307297001</v>
      </c>
      <c r="B297" s="2" t="str">
        <f>IFERROR(__xludf.DUMMYFUNCTION("""COMPUTED_VALUE"""),"PACHECO MOREIRA LAURA ILEANA")</f>
        <v>PACHECO MOREIRA LAURA ILEANA</v>
      </c>
      <c r="C297" s="2" t="str">
        <f>IFERROR(__xludf.DUMMYFUNCTION("""COMPUTED_VALUE"""),"CONSULTORIO ODONTOLOGICO LAURA PACHECO")</f>
        <v>CONSULTORIO ODONTOLOGICO LAURA PACHECO</v>
      </c>
      <c r="D297" s="2" t="str">
        <f>IFERROR(__xludf.DUMMYFUNCTION("""COMPUTED_VALUE"""),"0994690462")</f>
        <v>0994690462</v>
      </c>
    </row>
    <row r="298">
      <c r="A298" s="2" t="str">
        <f>IFERROR(__xludf.DUMMYFUNCTION("""COMPUTED_VALUE"""),"1308358827001")</f>
        <v>1308358827001</v>
      </c>
      <c r="B298" s="2" t="str">
        <f>IFERROR(__xludf.DUMMYFUNCTION("""COMPUTED_VALUE"""),"PALMA ALCIVAR WENDY ERIKA")</f>
        <v>PALMA ALCIVAR WENDY ERIKA</v>
      </c>
      <c r="C298" s="2" t="str">
        <f>IFERROR(__xludf.DUMMYFUNCTION("""COMPUTED_VALUE"""),"DRA ERIKA PALMA")</f>
        <v>DRA ERIKA PALMA</v>
      </c>
      <c r="D298" s="2" t="str">
        <f>IFERROR(__xludf.DUMMYFUNCTION("""COMPUTED_VALUE"""),"0983312369")</f>
        <v>0983312369</v>
      </c>
    </row>
    <row r="299">
      <c r="A299" s="2" t="str">
        <f>IFERROR(__xludf.DUMMYFUNCTION("""COMPUTED_VALUE"""),"1312327644001")</f>
        <v>1312327644001</v>
      </c>
      <c r="B299" s="2" t="str">
        <f>IFERROR(__xludf.DUMMYFUNCTION("""COMPUTED_VALUE"""),"PALMA ARTEAGA INGRID MONSERRATE")</f>
        <v>PALMA ARTEAGA INGRID MONSERRATE</v>
      </c>
      <c r="C299" s="2" t="str">
        <f>IFERROR(__xludf.DUMMYFUNCTION("""COMPUTED_VALUE"""),"CONSULTORIO DENTAL")</f>
        <v>CONSULTORIO DENTAL</v>
      </c>
      <c r="D299" s="2" t="str">
        <f>IFERROR(__xludf.DUMMYFUNCTION("""COMPUTED_VALUE"""),"0968960175")</f>
        <v>0968960175</v>
      </c>
    </row>
    <row r="300">
      <c r="A300" s="2" t="str">
        <f>IFERROR(__xludf.DUMMYFUNCTION("""COMPUTED_VALUE"""),"1309016945001")</f>
        <v>1309016945001</v>
      </c>
      <c r="B300" s="2" t="str">
        <f>IFERROR(__xludf.DUMMYFUNCTION("""COMPUTED_VALUE"""),"PANCHANA CASANOVA MARIA VERONICA")</f>
        <v>PANCHANA CASANOVA MARIA VERONICA</v>
      </c>
      <c r="C300" s="2" t="str">
        <f>IFERROR(__xludf.DUMMYFUNCTION("""COMPUTED_VALUE"""),"PANCHANA CASANOVA MARIA VERONICA")</f>
        <v>PANCHANA CASANOVA MARIA VERONICA</v>
      </c>
      <c r="D300" s="2" t="str">
        <f>IFERROR(__xludf.DUMMYFUNCTION("""COMPUTED_VALUE"""),"0980837441")</f>
        <v>0980837441</v>
      </c>
    </row>
    <row r="301">
      <c r="A301" s="2" t="str">
        <f>IFERROR(__xludf.DUMMYFUNCTION("""COMPUTED_VALUE"""),"1312774522001")</f>
        <v>1312774522001</v>
      </c>
      <c r="B301" s="2" t="str">
        <f>IFERROR(__xludf.DUMMYFUNCTION("""COMPUTED_VALUE"""),"PAREDES VASQUEZ NATHALY LILIANA")</f>
        <v>PAREDES VASQUEZ NATHALY LILIANA</v>
      </c>
      <c r="C301" s="2" t="str">
        <f>IFERROR(__xludf.DUMMYFUNCTION("""COMPUTED_VALUE"""),"INNOVADENT")</f>
        <v>INNOVADENT</v>
      </c>
      <c r="D301" s="2" t="str">
        <f>IFERROR(__xludf.DUMMYFUNCTION("""COMPUTED_VALUE"""),"0996427802")</f>
        <v>0996427802</v>
      </c>
    </row>
    <row r="302">
      <c r="A302" s="2" t="str">
        <f>IFERROR(__xludf.DUMMYFUNCTION("""COMPUTED_VALUE"""),"0960139236001")</f>
        <v>0960139236001</v>
      </c>
      <c r="B302" s="2" t="str">
        <f>IFERROR(__xludf.DUMMYFUNCTION("""COMPUTED_VALUE"""),"PARRA IRAOLA SANDRA SUSANA")</f>
        <v>PARRA IRAOLA SANDRA SUSANA</v>
      </c>
      <c r="C302" s="2" t="str">
        <f>IFERROR(__xludf.DUMMYFUNCTION("""COMPUTED_VALUE"""),"ORTOSEG")</f>
        <v>ORTOSEG</v>
      </c>
      <c r="D302" s="2" t="str">
        <f>IFERROR(__xludf.DUMMYFUNCTION("""COMPUTED_VALUE"""),"0987404367")</f>
        <v>0987404367</v>
      </c>
    </row>
    <row r="303">
      <c r="A303" s="2" t="str">
        <f>IFERROR(__xludf.DUMMYFUNCTION("""COMPUTED_VALUE"""),"1304003096001")</f>
        <v>1304003096001</v>
      </c>
      <c r="B303" s="2" t="str">
        <f>IFERROR(__xludf.DUMMYFUNCTION("""COMPUTED_VALUE"""),"PARRAGA BERNAL JAIRO BERNABE")</f>
        <v>PARRAGA BERNAL JAIRO BERNABE</v>
      </c>
      <c r="C303" s="2" t="str">
        <f>IFERROR(__xludf.DUMMYFUNCTION("""COMPUTED_VALUE"""),"DIAGNOSTICAR UNIDAD DE PATOLOGIA Y CITOLOGIA")</f>
        <v>DIAGNOSTICAR UNIDAD DE PATOLOGIA Y CITOLOGIA</v>
      </c>
      <c r="D303" s="2" t="str">
        <f>IFERROR(__xludf.DUMMYFUNCTION("""COMPUTED_VALUE"""),"0997006000")</f>
        <v>0997006000</v>
      </c>
    </row>
    <row r="304">
      <c r="A304" s="2" t="str">
        <f>IFERROR(__xludf.DUMMYFUNCTION("""COMPUTED_VALUE"""),"1350230650001")</f>
        <v>1350230650001</v>
      </c>
      <c r="B304" s="2" t="str">
        <f>IFERROR(__xludf.DUMMYFUNCTION("""COMPUTED_VALUE"""),"PARRAGA CARRERA SILVANA ELIZABETH")</f>
        <v>PARRAGA CARRERA SILVANA ELIZABETH</v>
      </c>
      <c r="C304" s="2" t="str">
        <f>IFERROR(__xludf.DUMMYFUNCTION("""COMPUTED_VALUE"""),"MOTEL 2 CORAZONES")</f>
        <v>MOTEL 2 CORAZONES</v>
      </c>
      <c r="D304" s="2" t="str">
        <f>IFERROR(__xludf.DUMMYFUNCTION("""COMPUTED_VALUE"""),"0959407176")</f>
        <v>0959407176</v>
      </c>
    </row>
    <row r="305">
      <c r="A305" s="2" t="str">
        <f>IFERROR(__xludf.DUMMYFUNCTION("""COMPUTED_VALUE"""),"1314710987001")</f>
        <v>1314710987001</v>
      </c>
      <c r="B305" s="2" t="str">
        <f>IFERROR(__xludf.DUMMYFUNCTION("""COMPUTED_VALUE"""),"PARRAGA CASTRO KRISTHEL PIERINA")</f>
        <v>PARRAGA CASTRO KRISTHEL PIERINA</v>
      </c>
      <c r="C305" s="2" t="str">
        <f>IFERROR(__xludf.DUMMYFUNCTION("""COMPUTED_VALUE"""),"KRISMED")</f>
        <v>KRISMED</v>
      </c>
      <c r="D305" s="2" t="str">
        <f>IFERROR(__xludf.DUMMYFUNCTION("""COMPUTED_VALUE"""),"0962540242")</f>
        <v>0962540242</v>
      </c>
    </row>
    <row r="306">
      <c r="A306" s="2" t="str">
        <f>IFERROR(__xludf.DUMMYFUNCTION("""COMPUTED_VALUE"""),"1310251861001")</f>
        <v>1310251861001</v>
      </c>
      <c r="B306" s="2" t="str">
        <f>IFERROR(__xludf.DUMMYFUNCTION("""COMPUTED_VALUE"""),"PARRAGA GARABI JAZMIN DEL CARMEN")</f>
        <v>PARRAGA GARABI JAZMIN DEL CARMEN</v>
      </c>
      <c r="C306" s="2" t="str">
        <f>IFERROR(__xludf.DUMMYFUNCTION("""COMPUTED_VALUE"""),"PARRAGA GARABI JAZMIN DEL CARMEN")</f>
        <v>PARRAGA GARABI JAZMIN DEL CARMEN</v>
      </c>
      <c r="D306" s="2" t="str">
        <f>IFERROR(__xludf.DUMMYFUNCTION("""COMPUTED_VALUE"""),"0984970030")</f>
        <v>0984970030</v>
      </c>
    </row>
    <row r="307">
      <c r="A307" s="2" t="str">
        <f>IFERROR(__xludf.DUMMYFUNCTION("""COMPUTED_VALUE"""),"1300856398001")</f>
        <v>1300856398001</v>
      </c>
      <c r="B307" s="2" t="str">
        <f>IFERROR(__xludf.DUMMYFUNCTION("""COMPUTED_VALUE"""),"PARRAGA MACIAS MILTON ALFONSO")</f>
        <v>PARRAGA MACIAS MILTON ALFONSO</v>
      </c>
      <c r="C307" s="2" t="str">
        <f>IFERROR(__xludf.DUMMYFUNCTION("""COMPUTED_VALUE"""),"CONSULTORIO DR MILTON PARRAGA")</f>
        <v>CONSULTORIO DR MILTON PARRAGA</v>
      </c>
      <c r="D307" s="2" t="str">
        <f>IFERROR(__xludf.DUMMYFUNCTION("""COMPUTED_VALUE"""),"0996770770")</f>
        <v>0996770770</v>
      </c>
    </row>
    <row r="308">
      <c r="A308" s="2" t="str">
        <f>IFERROR(__xludf.DUMMYFUNCTION("""COMPUTED_VALUE"""),"1309315057001")</f>
        <v>1309315057001</v>
      </c>
      <c r="B308" s="2" t="str">
        <f>IFERROR(__xludf.DUMMYFUNCTION("""COMPUTED_VALUE"""),"PARRAGA MERA JHON JAMPIER")</f>
        <v>PARRAGA MERA JHON JAMPIER</v>
      </c>
      <c r="C308" s="2" t="str">
        <f>IFERROR(__xludf.DUMMYFUNCTION("""COMPUTED_VALUE"""),"CONSULTORIO MEDICO DR PARRAGA")</f>
        <v>CONSULTORIO MEDICO DR PARRAGA</v>
      </c>
      <c r="D308" s="2" t="str">
        <f>IFERROR(__xludf.DUMMYFUNCTION("""COMPUTED_VALUE"""),"0990896540")</f>
        <v>0990896540</v>
      </c>
    </row>
    <row r="309">
      <c r="A309" s="2" t="str">
        <f>IFERROR(__xludf.DUMMYFUNCTION("""COMPUTED_VALUE"""),"1391751478001")</f>
        <v>1391751478001</v>
      </c>
      <c r="B309" s="2" t="str">
        <f>IFERROR(__xludf.DUMMYFUNCTION("""COMPUTED_VALUE"""),"PARROQUIA ESCLESIASTICA JESUS EL BUEN PASTOR")</f>
        <v>PARROQUIA ESCLESIASTICA JESUS EL BUEN PASTOR</v>
      </c>
      <c r="C309" s="2" t="str">
        <f>IFERROR(__xludf.DUMMYFUNCTION("""COMPUTED_VALUE"""),"CENTRO DE ESPECIALIDADES JESÚS EL BUEN PASTOR")</f>
        <v>CENTRO DE ESPECIALIDADES JESÚS EL BUEN PASTOR</v>
      </c>
      <c r="D309" s="2" t="str">
        <f>IFERROR(__xludf.DUMMYFUNCTION("""COMPUTED_VALUE"""),"0989770321")</f>
        <v>0989770321</v>
      </c>
    </row>
    <row r="310">
      <c r="A310" s="2" t="str">
        <f>IFERROR(__xludf.DUMMYFUNCTION("""COMPUTED_VALUE"""),"1391718756001")</f>
        <v>1391718756001</v>
      </c>
      <c r="B310" s="2" t="str">
        <f>IFERROR(__xludf.DUMMYFUNCTION("""COMPUTED_VALUE"""),"PARROQUIA PIO IX")</f>
        <v>PARROQUIA PIO IX</v>
      </c>
      <c r="C310" s="2" t="str">
        <f>IFERROR(__xludf.DUMMYFUNCTION("""COMPUTED_VALUE"""),"CENTRO MÉDICO PARROQUIA PIO IX")</f>
        <v>CENTRO MÉDICO PARROQUIA PIO IX</v>
      </c>
      <c r="D310" s="2" t="str">
        <f>IFERROR(__xludf.DUMMYFUNCTION("""COMPUTED_VALUE"""),"0993065254")</f>
        <v>0993065254</v>
      </c>
    </row>
    <row r="311">
      <c r="A311" s="2" t="str">
        <f>IFERROR(__xludf.DUMMYFUNCTION("""COMPUTED_VALUE"""),"1313164830001")</f>
        <v>1313164830001</v>
      </c>
      <c r="B311" s="2" t="str">
        <f>IFERROR(__xludf.DUMMYFUNCTION("""COMPUTED_VALUE"""),"PEÑA PALACIOS SAMMY IRINA")</f>
        <v>PEÑA PALACIOS SAMMY IRINA</v>
      </c>
      <c r="C311" s="2" t="str">
        <f>IFERROR(__xludf.DUMMYFUNCTION("""COMPUTED_VALUE"""),"DOCTORA SAMMY PEÑA CONSULTORIO MEDICO")</f>
        <v>DOCTORA SAMMY PEÑA CONSULTORIO MEDICO</v>
      </c>
      <c r="D311" s="2" t="str">
        <f>IFERROR(__xludf.DUMMYFUNCTION("""COMPUTED_VALUE"""),"0968463791")</f>
        <v>0968463791</v>
      </c>
    </row>
    <row r="312">
      <c r="A312" s="2" t="str">
        <f>IFERROR(__xludf.DUMMYFUNCTION("""COMPUTED_VALUE"""),"1310651714001")</f>
        <v>1310651714001</v>
      </c>
      <c r="B312" s="2" t="str">
        <f>IFERROR(__xludf.DUMMYFUNCTION("""COMPUTED_VALUE"""),"PEREZ ZIPA MARIA PATRICIA")</f>
        <v>PEREZ ZIPA MARIA PATRICIA</v>
      </c>
      <c r="C312" s="2" t="str">
        <f>IFERROR(__xludf.DUMMYFUNCTION("""COMPUTED_VALUE"""),"MASTER DENTAL CONSULTORIO DENTAL")</f>
        <v>MASTER DENTAL CONSULTORIO DENTAL</v>
      </c>
      <c r="D312" s="2" t="str">
        <f>IFERROR(__xludf.DUMMYFUNCTION("""COMPUTED_VALUE"""),"0997966350")</f>
        <v>0997966350</v>
      </c>
    </row>
    <row r="313">
      <c r="A313" s="2" t="str">
        <f>IFERROR(__xludf.DUMMYFUNCTION("""COMPUTED_VALUE"""),"1312656752001")</f>
        <v>1312656752001</v>
      </c>
      <c r="B313" s="2" t="str">
        <f>IFERROR(__xludf.DUMMYFUNCTION("""COMPUTED_VALUE"""),"PICO BASURTO GISSELLA ANNABELLE")</f>
        <v>PICO BASURTO GISSELLA ANNABELLE</v>
      </c>
      <c r="C313" s="2" t="str">
        <f>IFERROR(__xludf.DUMMYFUNCTION("""COMPUTED_VALUE"""),"DENTAL PICO")</f>
        <v>DENTAL PICO</v>
      </c>
      <c r="D313" s="2" t="str">
        <f>IFERROR(__xludf.DUMMYFUNCTION("""COMPUTED_VALUE"""),"0994779304")</f>
        <v>0994779304</v>
      </c>
    </row>
    <row r="314">
      <c r="A314" s="2" t="str">
        <f>IFERROR(__xludf.DUMMYFUNCTION("""COMPUTED_VALUE"""),"1313256883001")</f>
        <v>1313256883001</v>
      </c>
      <c r="B314" s="2" t="str">
        <f>IFERROR(__xludf.DUMMYFUNCTION("""COMPUTED_VALUE"""),"PICO CORONEL JENNY NATHALY")</f>
        <v>PICO CORONEL JENNY NATHALY</v>
      </c>
      <c r="C314" s="2" t="str">
        <f>IFERROR(__xludf.DUMMYFUNCTION("""COMPUTED_VALUE"""),"CENTRO ODONTOLOGICO SAN FRANCISCO")</f>
        <v>CENTRO ODONTOLOGICO SAN FRANCISCO</v>
      </c>
      <c r="D314" s="2" t="str">
        <f>IFERROR(__xludf.DUMMYFUNCTION("""COMPUTED_VALUE"""),"0980142549")</f>
        <v>0980142549</v>
      </c>
    </row>
    <row r="315">
      <c r="A315" s="2" t="str">
        <f>IFERROR(__xludf.DUMMYFUNCTION("""COMPUTED_VALUE"""),"1312861618001")</f>
        <v>1312861618001</v>
      </c>
      <c r="B315" s="2" t="str">
        <f>IFERROR(__xludf.DUMMYFUNCTION("""COMPUTED_VALUE"""),"PICO POVEDA MILDRED VALERIA")</f>
        <v>PICO POVEDA MILDRED VALERIA</v>
      </c>
      <c r="C315" s="2" t="str">
        <f>IFERROR(__xludf.DUMMYFUNCTION("""COMPUTED_VALUE"""),"RADIOLOGY IMAGING ECOGRAFIAS")</f>
        <v>RADIOLOGY IMAGING ECOGRAFIAS</v>
      </c>
      <c r="D315" s="2" t="str">
        <f>IFERROR(__xludf.DUMMYFUNCTION("""COMPUTED_VALUE"""),"0985738763")</f>
        <v>0985738763</v>
      </c>
    </row>
    <row r="316">
      <c r="A316" s="2" t="str">
        <f>IFERROR(__xludf.DUMMYFUNCTION("""COMPUTED_VALUE"""),"1314393925001")</f>
        <v>1314393925001</v>
      </c>
      <c r="B316" s="2" t="str">
        <f>IFERROR(__xludf.DUMMYFUNCTION("""COMPUTED_VALUE"""),"PICO SORNOZA ANDREINA SAMIRNA")</f>
        <v>PICO SORNOZA ANDREINA SAMIRNA</v>
      </c>
      <c r="C316" s="2" t="str">
        <f>IFERROR(__xludf.DUMMYFUNCTION("""COMPUTED_VALUE"""),"SAMIRNI DENTAL")</f>
        <v>SAMIRNI DENTAL</v>
      </c>
      <c r="D316" s="2" t="str">
        <f>IFERROR(__xludf.DUMMYFUNCTION("""COMPUTED_VALUE"""),"0990612064")</f>
        <v>0990612064</v>
      </c>
    </row>
    <row r="317">
      <c r="A317" s="2" t="str">
        <f>IFERROR(__xludf.DUMMYFUNCTION("""COMPUTED_VALUE"""),"1313235168001")</f>
        <v>1313235168001</v>
      </c>
      <c r="B317" s="2" t="str">
        <f>IFERROR(__xludf.DUMMYFUNCTION("""COMPUTED_VALUE"""),"PICO SORNOZA CECILIA STEFANIA")</f>
        <v>PICO SORNOZA CECILIA STEFANIA</v>
      </c>
      <c r="C317" s="2" t="str">
        <f>IFERROR(__xludf.DUMMYFUNCTION("""COMPUTED_VALUE"""),"CONSULTORIO ODONTOLÓGICO")</f>
        <v>CONSULTORIO ODONTOLÓGICO</v>
      </c>
      <c r="D317" s="2" t="str">
        <f>IFERROR(__xludf.DUMMYFUNCTION("""COMPUTED_VALUE"""),"0993093824")</f>
        <v>0993093824</v>
      </c>
    </row>
    <row r="318">
      <c r="A318" s="2" t="str">
        <f>IFERROR(__xludf.DUMMYFUNCTION("""COMPUTED_VALUE"""),"1312860503001")</f>
        <v>1312860503001</v>
      </c>
      <c r="B318" s="2" t="str">
        <f>IFERROR(__xludf.DUMMYFUNCTION("""COMPUTED_VALUE"""),"PINARGOTE COBEÑA ANGELICA MARIA")</f>
        <v>PINARGOTE COBEÑA ANGELICA MARIA</v>
      </c>
      <c r="C318" s="2" t="str">
        <f>IFERROR(__xludf.DUMMYFUNCTION("""COMPUTED_VALUE"""),"CENTRO DE TOLERANCIA NIGH CLUB COPA CABANA")</f>
        <v>CENTRO DE TOLERANCIA NIGH CLUB COPA CABANA</v>
      </c>
      <c r="D318" s="2" t="str">
        <f>IFERROR(__xludf.DUMMYFUNCTION("""COMPUTED_VALUE"""),"0990596829")</f>
        <v>0990596829</v>
      </c>
    </row>
    <row r="319">
      <c r="A319" s="2" t="str">
        <f>IFERROR(__xludf.DUMMYFUNCTION("""COMPUTED_VALUE"""),"1311639098001")</f>
        <v>1311639098001</v>
      </c>
      <c r="B319" s="2" t="str">
        <f>IFERROR(__xludf.DUMMYFUNCTION("""COMPUTED_VALUE"""),"PINARGOTE MACIAS GEMA AMINTA")</f>
        <v>PINARGOTE MACIAS GEMA AMINTA</v>
      </c>
      <c r="C319" s="2" t="str">
        <f>IFERROR(__xludf.DUMMYFUNCTION("""COMPUTED_VALUE"""),"LABORATORIO CLINICO SERVIMEDIC")</f>
        <v>LABORATORIO CLINICO SERVIMEDIC</v>
      </c>
      <c r="D319" s="2" t="str">
        <f>IFERROR(__xludf.DUMMYFUNCTION("""COMPUTED_VALUE"""),"0979629614")</f>
        <v>0979629614</v>
      </c>
    </row>
    <row r="320">
      <c r="A320" s="2" t="str">
        <f>IFERROR(__xludf.DUMMYFUNCTION("""COMPUTED_VALUE"""),"1312850090001")</f>
        <v>1312850090001</v>
      </c>
      <c r="B320" s="2" t="str">
        <f>IFERROR(__xludf.DUMMYFUNCTION("""COMPUTED_VALUE"""),"PINARGOTE PARRAGA YUNIOR GERARDO")</f>
        <v>PINARGOTE PARRAGA YUNIOR GERARDO</v>
      </c>
      <c r="C320" s="2" t="str">
        <f>IFERROR(__xludf.DUMMYFUNCTION("""COMPUTED_VALUE"""),"YUMARS DENT")</f>
        <v>YUMARS DENT</v>
      </c>
      <c r="D320" s="2" t="str">
        <f>IFERROR(__xludf.DUMMYFUNCTION("""COMPUTED_VALUE"""),"0993716173")</f>
        <v>0993716173</v>
      </c>
    </row>
    <row r="321">
      <c r="A321" s="2" t="str">
        <f>IFERROR(__xludf.DUMMYFUNCTION("""COMPUTED_VALUE"""),"1307536464001")</f>
        <v>1307536464001</v>
      </c>
      <c r="B321" s="2" t="str">
        <f>IFERROR(__xludf.DUMMYFUNCTION("""COMPUTED_VALUE"""),"PINARGOTE RODRIGUEZ RICHARD WILFRIDO")</f>
        <v>PINARGOTE RODRIGUEZ RICHARD WILFRIDO</v>
      </c>
      <c r="C321" s="2" t="str">
        <f>IFERROR(__xludf.DUMMYFUNCTION("""COMPUTED_VALUE"""),"PINARGOTE RODRIGUEZ RICHARD WILFRIDO")</f>
        <v>PINARGOTE RODRIGUEZ RICHARD WILFRIDO</v>
      </c>
      <c r="D321" s="2" t="str">
        <f>IFERROR(__xludf.DUMMYFUNCTION("""COMPUTED_VALUE"""),"0996834759")</f>
        <v>0996834759</v>
      </c>
    </row>
    <row r="322">
      <c r="A322" s="2" t="str">
        <f>IFERROR(__xludf.DUMMYFUNCTION("""COMPUTED_VALUE"""),"1307319978001")</f>
        <v>1307319978001</v>
      </c>
      <c r="B322" s="2" t="str">
        <f>IFERROR(__xludf.DUMMYFUNCTION("""COMPUTED_VALUE"""),"PINCAY QUIJIJE CARLOS ALFREDO")</f>
        <v>PINCAY QUIJIJE CARLOS ALFREDO</v>
      </c>
      <c r="C322" s="2" t="str">
        <f>IFERROR(__xludf.DUMMYFUNCTION("""COMPUTED_VALUE"""),"HOSTAL AYMARA")</f>
        <v>HOSTAL AYMARA</v>
      </c>
      <c r="D322" s="2" t="str">
        <f>IFERROR(__xludf.DUMMYFUNCTION("""COMPUTED_VALUE"""),"0981457923")</f>
        <v>0981457923</v>
      </c>
    </row>
    <row r="323">
      <c r="A323" s="2" t="str">
        <f>IFERROR(__xludf.DUMMYFUNCTION("""COMPUTED_VALUE"""),"1313882795001")</f>
        <v>1313882795001</v>
      </c>
      <c r="B323" s="2" t="str">
        <f>IFERROR(__xludf.DUMMYFUNCTION("""COMPUTED_VALUE"""),"PINOARGOTE ESPAÑA DALI CRISTINA")</f>
        <v>PINOARGOTE ESPAÑA DALI CRISTINA</v>
      </c>
      <c r="C323" s="2" t="str">
        <f>IFERROR(__xludf.DUMMYFUNCTION("""COMPUTED_VALUE"""),"CONSULTORIO DRA DALI PINOARGOTE")</f>
        <v>CONSULTORIO DRA DALI PINOARGOTE</v>
      </c>
      <c r="D323" s="2" t="str">
        <f>IFERROR(__xludf.DUMMYFUNCTION("""COMPUTED_VALUE"""),"0939161011")</f>
        <v>0939161011</v>
      </c>
    </row>
    <row r="324">
      <c r="A324" s="2" t="str">
        <f>IFERROR(__xludf.DUMMYFUNCTION("""COMPUTED_VALUE"""),"1300258124001")</f>
        <v>1300258124001</v>
      </c>
      <c r="B324" s="2" t="str">
        <f>IFERROR(__xludf.DUMMYFUNCTION("""COMPUTED_VALUE"""),"PINOARGOTE MENDOZA ANTONIO ROBESPIERRE")</f>
        <v>PINOARGOTE MENDOZA ANTONIO ROBESPIERRE</v>
      </c>
      <c r="C324" s="2" t="str">
        <f>IFERROR(__xludf.DUMMYFUNCTION("""COMPUTED_VALUE"""),"PINOARGOTE MENDOZA ANTONIO ROBESPIERRE")</f>
        <v>PINOARGOTE MENDOZA ANTONIO ROBESPIERRE</v>
      </c>
      <c r="D324" s="2" t="str">
        <f>IFERROR(__xludf.DUMMYFUNCTION("""COMPUTED_VALUE"""),"0969772452")</f>
        <v>0969772452</v>
      </c>
    </row>
    <row r="325">
      <c r="A325" s="2" t="str">
        <f>IFERROR(__xludf.DUMMYFUNCTION("""COMPUTED_VALUE"""),"0924321789001")</f>
        <v>0924321789001</v>
      </c>
      <c r="B325" s="2" t="str">
        <f>IFERROR(__xludf.DUMMYFUNCTION("""COMPUTED_VALUE"""),"PISCO BENALCAZAR VANESSA DE JESUS")</f>
        <v>PISCO BENALCAZAR VANESSA DE JESUS</v>
      </c>
      <c r="C325" s="2" t="str">
        <f>IFERROR(__xludf.DUMMYFUNCTION("""COMPUTED_VALUE"""),"VANEMAE DENTAL PORTOVIEJO")</f>
        <v>VANEMAE DENTAL PORTOVIEJO</v>
      </c>
      <c r="D325" s="2" t="str">
        <f>IFERROR(__xludf.DUMMYFUNCTION("""COMPUTED_VALUE"""),"0992223983")</f>
        <v>0992223983</v>
      </c>
    </row>
    <row r="326">
      <c r="A326" s="2" t="str">
        <f>IFERROR(__xludf.DUMMYFUNCTION("""COMPUTED_VALUE"""),"1391766467001")</f>
        <v>1391766467001</v>
      </c>
      <c r="B326" s="2" t="str">
        <f>IFERROR(__xludf.DUMMYFUNCTION("""COMPUTED_VALUE"""),"PLANTAIN REPUBLIC / REPUBLICA DEL PLATANO EXPORTPLANTAIN S.A.")</f>
        <v>PLANTAIN REPUBLIC / REPUBLICA DEL PLATANO EXPORTPLANTAIN S.A.</v>
      </c>
      <c r="C326" s="2" t="str">
        <f>IFERROR(__xludf.DUMMYFUNCTION("""COMPUTED_VALUE"""),"PLANTAIN REPUBLIC SA")</f>
        <v>PLANTAIN REPUBLIC SA</v>
      </c>
      <c r="D326" s="2" t="str">
        <f>IFERROR(__xludf.DUMMYFUNCTION("""COMPUTED_VALUE"""),"0996129082")</f>
        <v>0996129082</v>
      </c>
    </row>
    <row r="327">
      <c r="A327" s="2" t="str">
        <f>IFERROR(__xludf.DUMMYFUNCTION("""COMPUTED_VALUE"""),"1304519919001")</f>
        <v>1304519919001</v>
      </c>
      <c r="B327" s="2" t="str">
        <f>IFERROR(__xludf.DUMMYFUNCTION("""COMPUTED_VALUE"""),"PLUA HERNANDEZ GINO FABIAN")</f>
        <v>PLUA HERNANDEZ GINO FABIAN</v>
      </c>
      <c r="C327" s="2" t="str">
        <f>IFERROR(__xludf.DUMMYFUNCTION("""COMPUTED_VALUE"""),"DENTALPLU")</f>
        <v>DENTALPLU</v>
      </c>
      <c r="D327" s="2" t="str">
        <f>IFERROR(__xludf.DUMMYFUNCTION("""COMPUTED_VALUE"""),"0994874343")</f>
        <v>0994874343</v>
      </c>
    </row>
    <row r="328">
      <c r="A328" s="2" t="str">
        <f>IFERROR(__xludf.DUMMYFUNCTION("""COMPUTED_VALUE"""),"0914839725001")</f>
        <v>0914839725001</v>
      </c>
      <c r="B328" s="2" t="str">
        <f>IFERROR(__xludf.DUMMYFUNCTION("""COMPUTED_VALUE"""),"POLO BAYAS IRENE MARIA")</f>
        <v>POLO BAYAS IRENE MARIA</v>
      </c>
      <c r="C328" s="2" t="str">
        <f>IFERROR(__xludf.DUMMYFUNCTION("""COMPUTED_VALUE"""),"TORRE MÉDICA SAN ANTONIO")</f>
        <v>TORRE MÉDICA SAN ANTONIO</v>
      </c>
      <c r="D328" s="2" t="str">
        <f>IFERROR(__xludf.DUMMYFUNCTION("""COMPUTED_VALUE"""),"0939224496")</f>
        <v>0939224496</v>
      </c>
    </row>
    <row r="329">
      <c r="A329" s="2" t="str">
        <f>IFERROR(__xludf.DUMMYFUNCTION("""COMPUTED_VALUE"""),"1313238121001")</f>
        <v>1313238121001</v>
      </c>
      <c r="B329" s="2" t="str">
        <f>IFERROR(__xludf.DUMMYFUNCTION("""COMPUTED_VALUE"""),"PONCE CEDEÑO SILVIA PATRICIA")</f>
        <v>PONCE CEDEÑO SILVIA PATRICIA</v>
      </c>
      <c r="C329" s="2" t="str">
        <f>IFERROR(__xludf.DUMMYFUNCTION("""COMPUTED_VALUE"""),"MEDUSA BEAUTY BAR")</f>
        <v>MEDUSA BEAUTY BAR</v>
      </c>
      <c r="D329" s="2" t="str">
        <f>IFERROR(__xludf.DUMMYFUNCTION("""COMPUTED_VALUE"""),"0992305006")</f>
        <v>0992305006</v>
      </c>
    </row>
    <row r="330">
      <c r="A330" s="2" t="str">
        <f>IFERROR(__xludf.DUMMYFUNCTION("""COMPUTED_VALUE"""),"1303176323001")</f>
        <v>1303176323001</v>
      </c>
      <c r="B330" s="2" t="str">
        <f>IFERROR(__xludf.DUMMYFUNCTION("""COMPUTED_VALUE"""),"PONCE POSLIGUA ALAIN HERMENEGILDO")</f>
        <v>PONCE POSLIGUA ALAIN HERMENEGILDO</v>
      </c>
      <c r="C330" s="2" t="str">
        <f>IFERROR(__xludf.DUMMYFUNCTION("""COMPUTED_VALUE"""),"CENTRO DE TOLERANCIA EL REFÚGIO")</f>
        <v>CENTRO DE TOLERANCIA EL REFÚGIO</v>
      </c>
      <c r="D330" s="2" t="str">
        <f>IFERROR(__xludf.DUMMYFUNCTION("""COMPUTED_VALUE"""),"0967712285")</f>
        <v>0967712285</v>
      </c>
    </row>
    <row r="331">
      <c r="A331" s="2" t="str">
        <f>IFERROR(__xludf.DUMMYFUNCTION("""COMPUTED_VALUE"""),"1310608110001")</f>
        <v>1310608110001</v>
      </c>
      <c r="B331" s="2" t="str">
        <f>IFERROR(__xludf.DUMMYFUNCTION("""COMPUTED_VALUE"""),"PONCE SOLORZANO ANTONIO BERNARDO")</f>
        <v>PONCE SOLORZANO ANTONIO BERNARDO</v>
      </c>
      <c r="C331" s="2" t="str">
        <f>IFERROR(__xludf.DUMMYFUNCTION("""COMPUTED_VALUE"""),"MASTER BARBER Y ALTA PELUQUERIA")</f>
        <v>MASTER BARBER Y ALTA PELUQUERIA</v>
      </c>
      <c r="D331" s="2" t="str">
        <f>IFERROR(__xludf.DUMMYFUNCTION("""COMPUTED_VALUE"""),"0985114871")</f>
        <v>0985114871</v>
      </c>
    </row>
    <row r="332">
      <c r="A332" s="2" t="str">
        <f>IFERROR(__xludf.DUMMYFUNCTION("""COMPUTED_VALUE"""),"1309687232001")</f>
        <v>1309687232001</v>
      </c>
      <c r="B332" s="2" t="str">
        <f>IFERROR(__xludf.DUMMYFUNCTION("""COMPUTED_VALUE"""),"PONCE VERA MELANNYE SOPHIA")</f>
        <v>PONCE VERA MELANNYE SOPHIA</v>
      </c>
      <c r="C332" s="2" t="str">
        <f>IFERROR(__xludf.DUMMYFUNCTION("""COMPUTED_VALUE"""),"DENTCARE")</f>
        <v>DENTCARE</v>
      </c>
      <c r="D332" s="2" t="str">
        <f>IFERROR(__xludf.DUMMYFUNCTION("""COMPUTED_VALUE"""),"0997897110")</f>
        <v>0997897110</v>
      </c>
    </row>
    <row r="333">
      <c r="A333" s="2" t="str">
        <f>IFERROR(__xludf.DUMMYFUNCTION("""COMPUTED_VALUE"""),"1391924836001")</f>
        <v>1391924836001</v>
      </c>
      <c r="B333" s="2" t="str">
        <f>IFERROR(__xludf.DUMMYFUNCTION("""COMPUTED_VALUE"""),"PORTALMED S.A. B.I.C.")</f>
        <v>PORTALMED S.A. B.I.C.</v>
      </c>
      <c r="C333" s="2" t="str">
        <f>IFERROR(__xludf.DUMMYFUNCTION("""COMPUTED_VALUE"""),"DRA CAROLINA PORTELA PORTALMED AESTHETIC")</f>
        <v>DRA CAROLINA PORTELA PORTALMED AESTHETIC</v>
      </c>
      <c r="D333" s="2" t="str">
        <f>IFERROR(__xludf.DUMMYFUNCTION("""COMPUTED_VALUE"""),"0968717706")</f>
        <v>0968717706</v>
      </c>
    </row>
    <row r="334">
      <c r="A334" s="2" t="str">
        <f>IFERROR(__xludf.DUMMYFUNCTION("""COMPUTED_VALUE"""),"1314933506001")</f>
        <v>1314933506001</v>
      </c>
      <c r="B334" s="2" t="str">
        <f>IFERROR(__xludf.DUMMYFUNCTION("""COMPUTED_VALUE"""),"PORTILLA ALAVA CARLOS HUMBERTO")</f>
        <v>PORTILLA ALAVA CARLOS HUMBERTO</v>
      </c>
      <c r="C334" s="2" t="str">
        <f>IFERROR(__xludf.DUMMYFUNCTION("""COMPUTED_VALUE"""),"DENTAL PORCH")</f>
        <v>DENTAL PORCH</v>
      </c>
      <c r="D334" s="2" t="str">
        <f>IFERROR(__xludf.DUMMYFUNCTION("""COMPUTED_VALUE"""),"0980037469")</f>
        <v>0980037469</v>
      </c>
    </row>
    <row r="335">
      <c r="A335" s="2" t="str">
        <f>IFERROR(__xludf.DUMMYFUNCTION("""COMPUTED_VALUE"""),"1308628062001")</f>
        <v>1308628062001</v>
      </c>
      <c r="B335" s="2" t="str">
        <f>IFERROR(__xludf.DUMMYFUNCTION("""COMPUTED_VALUE"""),"POVEDA AYON JOSE DANIEL")</f>
        <v>POVEDA AYON JOSE DANIEL</v>
      </c>
      <c r="C335" s="2" t="str">
        <f>IFERROR(__xludf.DUMMYFUNCTION("""COMPUTED_VALUE"""),"CONSULTORIO DENTAL NICE TEETH")</f>
        <v>CONSULTORIO DENTAL NICE TEETH</v>
      </c>
      <c r="D335" s="2" t="str">
        <f>IFERROR(__xludf.DUMMYFUNCTION("""COMPUTED_VALUE"""),"0992999207")</f>
        <v>0992999207</v>
      </c>
    </row>
    <row r="336">
      <c r="A336" s="2" t="str">
        <f>IFERROR(__xludf.DUMMYFUNCTION("""COMPUTED_VALUE"""),"1759046202001")</f>
        <v>1759046202001</v>
      </c>
      <c r="B336" s="2" t="str">
        <f>IFERROR(__xludf.DUMMYFUNCTION("""COMPUTED_VALUE"""),"PRIETO GONZALEZ ROSMERY MARGARITA")</f>
        <v>PRIETO GONZALEZ ROSMERY MARGARITA</v>
      </c>
      <c r="C336" s="2" t="str">
        <f>IFERROR(__xludf.DUMMYFUNCTION("""COMPUTED_VALUE"""),"CENTRO MÉDICO REGIONAL DE PORTOVIEJO MANABÍ ESPECIALIDADES MEDICAS E IMAGENOLOGÍABIOBIOCENTRO MEDICO REGIONAL PORTOVIEJO - MANABI IMAGENOLOGIA Y SALUD OCUPACIONAL")</f>
        <v>CENTRO MÉDICO REGIONAL DE PORTOVIEJO MANABÍ ESPECIALIDADES MEDICAS E IMAGENOLOGÍABIOBIOCENTRO MEDICO REGIONAL PORTOVIEJO - MANABI IMAGENOLOGIA Y SALUD OCUPACIONAL</v>
      </c>
      <c r="D336" s="2" t="str">
        <f>IFERROR(__xludf.DUMMYFUNCTION("""COMPUTED_VALUE"""),"0986642240")</f>
        <v>0986642240</v>
      </c>
    </row>
    <row r="337">
      <c r="A337" s="2" t="str">
        <f>IFERROR(__xludf.DUMMYFUNCTION("""COMPUTED_VALUE"""),"1391709773001")</f>
        <v>1391709773001</v>
      </c>
      <c r="B337" s="2" t="str">
        <f>IFERROR(__xludf.DUMMYFUNCTION("""COMPUTED_VALUE"""),"PUCE SEDE MANABI")</f>
        <v>PUCE SEDE MANABI</v>
      </c>
      <c r="C337" s="2" t="str">
        <f>IFERROR(__xludf.DUMMYFUNCTION("""COMPUTED_VALUE"""),"CENTRO DE SALUD TIPO A")</f>
        <v>CENTRO DE SALUD TIPO A</v>
      </c>
      <c r="D337" s="2" t="str">
        <f>IFERROR(__xludf.DUMMYFUNCTION("""COMPUTED_VALUE"""),"0995008190")</f>
        <v>0995008190</v>
      </c>
    </row>
    <row r="338">
      <c r="A338" s="2" t="str">
        <f>IFERROR(__xludf.DUMMYFUNCTION("""COMPUTED_VALUE"""),"1307625648001")</f>
        <v>1307625648001</v>
      </c>
      <c r="B338" s="2" t="str">
        <f>IFERROR(__xludf.DUMMYFUNCTION("""COMPUTED_VALUE"""),"PUGA VELEZ JESSICA DOLORES")</f>
        <v>PUGA VELEZ JESSICA DOLORES</v>
      </c>
      <c r="C338" s="2" t="str">
        <f>IFERROR(__xludf.DUMMYFUNCTION("""COMPUTED_VALUE"""),"MEGADENTAL")</f>
        <v>MEGADENTAL</v>
      </c>
      <c r="D338" s="2" t="str">
        <f>IFERROR(__xludf.DUMMYFUNCTION("""COMPUTED_VALUE"""),"0980939731")</f>
        <v>0980939731</v>
      </c>
    </row>
    <row r="339">
      <c r="A339" s="2" t="str">
        <f>IFERROR(__xludf.DUMMYFUNCTION("""COMPUTED_VALUE"""),"1709833097001")</f>
        <v>1709833097001</v>
      </c>
      <c r="B339" s="2" t="str">
        <f>IFERROR(__xludf.DUMMYFUNCTION("""COMPUTED_VALUE"""),"PULLAS URIBE MILTON IVAN")</f>
        <v>PULLAS URIBE MILTON IVAN</v>
      </c>
      <c r="C339" s="2" t="str">
        <f>IFERROR(__xludf.DUMMYFUNCTION("""COMPUTED_VALUE"""),"MOTEL PASIÓN")</f>
        <v>MOTEL PASIÓN</v>
      </c>
      <c r="D339" s="2" t="str">
        <f>IFERROR(__xludf.DUMMYFUNCTION("""COMPUTED_VALUE"""),"0959981851")</f>
        <v>0959981851</v>
      </c>
    </row>
    <row r="340">
      <c r="A340" s="2" t="str">
        <f>IFERROR(__xludf.DUMMYFUNCTION("""COMPUTED_VALUE"""),"1309681854001")</f>
        <v>1309681854001</v>
      </c>
      <c r="B340" s="2" t="str">
        <f>IFERROR(__xludf.DUMMYFUNCTION("""COMPUTED_VALUE"""),"QUEVEDO REYNA GUILBER ANTONIO")</f>
        <v>QUEVEDO REYNA GUILBER ANTONIO</v>
      </c>
      <c r="C340" s="2" t="str">
        <f>IFERROR(__xludf.DUMMYFUNCTION("""COMPUTED_VALUE"""),"LABORATORIO CLINICO SANTA LUCIA MARIA")</f>
        <v>LABORATORIO CLINICO SANTA LUCIA MARIA</v>
      </c>
      <c r="D340" s="2" t="str">
        <f>IFERROR(__xludf.DUMMYFUNCTION("""COMPUTED_VALUE"""),"0967162236")</f>
        <v>0967162236</v>
      </c>
    </row>
    <row r="341">
      <c r="A341" s="2" t="str">
        <f>IFERROR(__xludf.DUMMYFUNCTION("""COMPUTED_VALUE"""),"1302553563001")</f>
        <v>1302553563001</v>
      </c>
      <c r="B341" s="2" t="str">
        <f>IFERROR(__xludf.DUMMYFUNCTION("""COMPUTED_VALUE"""),"QUIROZ RIVADENEIRA FLORIDA MARIANA")</f>
        <v>QUIROZ RIVADENEIRA FLORIDA MARIANA</v>
      </c>
      <c r="C341" s="2" t="str">
        <f>IFERROR(__xludf.DUMMYFUNCTION("""COMPUTED_VALUE"""),"CONSULTORIO MEDICO DE OBSTETRICIA ROFE")</f>
        <v>CONSULTORIO MEDICO DE OBSTETRICIA ROFE</v>
      </c>
      <c r="D341" s="2" t="str">
        <f>IFERROR(__xludf.DUMMYFUNCTION("""COMPUTED_VALUE"""),"0984887851")</f>
        <v>0984887851</v>
      </c>
    </row>
    <row r="342">
      <c r="A342" s="2" t="str">
        <f>IFERROR(__xludf.DUMMYFUNCTION("""COMPUTED_VALUE"""),"1308704046001")</f>
        <v>1308704046001</v>
      </c>
      <c r="B342" s="2" t="str">
        <f>IFERROR(__xludf.DUMMYFUNCTION("""COMPUTED_VALUE"""),"RAMOS LEON MIRIAN VERONICA")</f>
        <v>RAMOS LEON MIRIAN VERONICA</v>
      </c>
      <c r="C342" s="2" t="str">
        <f>IFERROR(__xludf.DUMMYFUNCTION("""COMPUTED_VALUE"""),"CLÍNICA DENTAL WONDER DENTAL CARE")</f>
        <v>CLÍNICA DENTAL WONDER DENTAL CARE</v>
      </c>
      <c r="D342" s="2" t="str">
        <f>IFERROR(__xludf.DUMMYFUNCTION("""COMPUTED_VALUE"""),"0993796152")</f>
        <v>0993796152</v>
      </c>
    </row>
    <row r="343">
      <c r="A343" s="2" t="str">
        <f>IFERROR(__xludf.DUMMYFUNCTION("""COMPUTED_VALUE"""),"1307800217001")</f>
        <v>1307800217001</v>
      </c>
      <c r="B343" s="2" t="str">
        <f>IFERROR(__xludf.DUMMYFUNCTION("""COMPUTED_VALUE"""),"RAMOS MENENDEZ YANIRA VANESSA")</f>
        <v>RAMOS MENENDEZ YANIRA VANESSA</v>
      </c>
      <c r="C343" s="2" t="str">
        <f>IFERROR(__xludf.DUMMYFUNCTION("""COMPUTED_VALUE"""),"CONSULTORIO DE PEDIATRÍA")</f>
        <v>CONSULTORIO DE PEDIATRÍA</v>
      </c>
      <c r="D343" s="2" t="str">
        <f>IFERROR(__xludf.DUMMYFUNCTION("""COMPUTED_VALUE"""),"0994833651")</f>
        <v>0994833651</v>
      </c>
    </row>
    <row r="344">
      <c r="A344" s="2" t="str">
        <f>IFERROR(__xludf.DUMMYFUNCTION("""COMPUTED_VALUE"""),"1311501207001")</f>
        <v>1311501207001</v>
      </c>
      <c r="B344" s="2" t="str">
        <f>IFERROR(__xludf.DUMMYFUNCTION("""COMPUTED_VALUE"""),"RENGIFO MITE KARLA ESTEFANIA")</f>
        <v>RENGIFO MITE KARLA ESTEFANIA</v>
      </c>
      <c r="C344" s="2" t="str">
        <f>IFERROR(__xludf.DUMMYFUNCTION("""COMPUTED_VALUE"""),"KARLA DENTAL CONSULTORIO")</f>
        <v>KARLA DENTAL CONSULTORIO</v>
      </c>
      <c r="D344" s="2" t="str">
        <f>IFERROR(__xludf.DUMMYFUNCTION("""COMPUTED_VALUE"""),"0980282650")</f>
        <v>0980282650</v>
      </c>
    </row>
    <row r="345">
      <c r="A345" s="2" t="str">
        <f>IFERROR(__xludf.DUMMYFUNCTION("""COMPUTED_VALUE"""),"1304742990001")</f>
        <v>1304742990001</v>
      </c>
      <c r="B345" s="2" t="str">
        <f>IFERROR(__xludf.DUMMYFUNCTION("""COMPUTED_VALUE"""),"RIVADENEIRA GOMEZ NELSON LEONARDO")</f>
        <v>RIVADENEIRA GOMEZ NELSON LEONARDO</v>
      </c>
      <c r="C345" s="2" t="str">
        <f>IFERROR(__xludf.DUMMYFUNCTION("""COMPUTED_VALUE"""),"LABORATORIO CLINICO RIVARLAB")</f>
        <v>LABORATORIO CLINICO RIVARLAB</v>
      </c>
      <c r="D345" s="2" t="str">
        <f>IFERROR(__xludf.DUMMYFUNCTION("""COMPUTED_VALUE"""),"0967930517")</f>
        <v>0967930517</v>
      </c>
    </row>
    <row r="346">
      <c r="A346" s="2" t="str">
        <f>IFERROR(__xludf.DUMMYFUNCTION("""COMPUTED_VALUE"""),"1316518198001")</f>
        <v>1316518198001</v>
      </c>
      <c r="B346" s="2" t="str">
        <f>IFERROR(__xludf.DUMMYFUNCTION("""COMPUTED_VALUE"""),"RIVAS OSTAIZA CARMEN VANESSA")</f>
        <v>RIVAS OSTAIZA CARMEN VANESSA</v>
      </c>
      <c r="C346" s="2" t="str">
        <f>IFERROR(__xludf.DUMMYFUNCTION("""COMPUTED_VALUE"""),"CLINICA VETERINARIA ALPHA PET")</f>
        <v>CLINICA VETERINARIA ALPHA PET</v>
      </c>
      <c r="D346" s="2" t="str">
        <f>IFERROR(__xludf.DUMMYFUNCTION("""COMPUTED_VALUE"""),"0961040549")</f>
        <v>0961040549</v>
      </c>
    </row>
    <row r="347">
      <c r="A347" s="2" t="str">
        <f>IFERROR(__xludf.DUMMYFUNCTION("""COMPUTED_VALUE"""),"1312291907001")</f>
        <v>1312291907001</v>
      </c>
      <c r="B347" s="2" t="str">
        <f>IFERROR(__xludf.DUMMYFUNCTION("""COMPUTED_VALUE"""),"RIVERA BAQUE STEFANIA CLARIBEL")</f>
        <v>RIVERA BAQUE STEFANIA CLARIBEL</v>
      </c>
      <c r="C347" s="2" t="str">
        <f>IFERROR(__xludf.DUMMYFUNCTION("""COMPUTED_VALUE"""),"RIVERA BAQUE STEFANIA CLARIBEL")</f>
        <v>RIVERA BAQUE STEFANIA CLARIBEL</v>
      </c>
      <c r="D347" s="2" t="str">
        <f>IFERROR(__xludf.DUMMYFUNCTION("""COMPUTED_VALUE"""),"0985341265")</f>
        <v>0985341265</v>
      </c>
    </row>
    <row r="348">
      <c r="A348" s="2" t="str">
        <f>IFERROR(__xludf.DUMMYFUNCTION("""COMPUTED_VALUE"""),"1309053591001")</f>
        <v>1309053591001</v>
      </c>
      <c r="B348" s="2" t="str">
        <f>IFERROR(__xludf.DUMMYFUNCTION("""COMPUTED_VALUE"""),"RODRIGUEZ GILER MELISSA LILI")</f>
        <v>RODRIGUEZ GILER MELISSA LILI</v>
      </c>
      <c r="C348" s="2" t="str">
        <f>IFERROR(__xludf.DUMMYFUNCTION("""COMPUTED_VALUE"""),"CONSULTORIO ODONTOLOGICO MELISSA LILI RODRIGUEZ GILER")</f>
        <v>CONSULTORIO ODONTOLOGICO MELISSA LILI RODRIGUEZ GILER</v>
      </c>
      <c r="D348" s="2" t="str">
        <f>IFERROR(__xludf.DUMMYFUNCTION("""COMPUTED_VALUE"""),"0981655188")</f>
        <v>0981655188</v>
      </c>
    </row>
    <row r="349">
      <c r="A349" s="2" t="str">
        <f>IFERROR(__xludf.DUMMYFUNCTION("""COMPUTED_VALUE"""),"1305236109001")</f>
        <v>1305236109001</v>
      </c>
      <c r="B349" s="2" t="str">
        <f>IFERROR(__xludf.DUMMYFUNCTION("""COMPUTED_VALUE"""),"RODRIGUEZ MENDOZA MILTON FERNANDO")</f>
        <v>RODRIGUEZ MENDOZA MILTON FERNANDO</v>
      </c>
      <c r="C349" s="2" t="str">
        <f>IFERROR(__xludf.DUMMYFUNCTION("""COMPUTED_VALUE"""),"CONSULTORIO MÉDICO")</f>
        <v>CONSULTORIO MÉDICO</v>
      </c>
      <c r="D349" s="2" t="str">
        <f>IFERROR(__xludf.DUMMYFUNCTION("""COMPUTED_VALUE"""),"0999073088")</f>
        <v>0999073088</v>
      </c>
    </row>
    <row r="350">
      <c r="A350" s="2" t="str">
        <f>IFERROR(__xludf.DUMMYFUNCTION("""COMPUTED_VALUE"""),"1311912180001")</f>
        <v>1311912180001</v>
      </c>
      <c r="B350" s="2" t="str">
        <f>IFERROR(__xludf.DUMMYFUNCTION("""COMPUTED_VALUE"""),"RODRIGUEZ RIVADENEIRA RONALD EDIVALDO")</f>
        <v>RODRIGUEZ RIVADENEIRA RONALD EDIVALDO</v>
      </c>
      <c r="C350" s="2" t="str">
        <f>IFERROR(__xludf.DUMMYFUNCTION("""COMPUTED_VALUE"""),"DENTI SALUD")</f>
        <v>DENTI SALUD</v>
      </c>
      <c r="D350" s="2" t="str">
        <f>IFERROR(__xludf.DUMMYFUNCTION("""COMPUTED_VALUE"""),"0960677036")</f>
        <v>0960677036</v>
      </c>
    </row>
    <row r="351">
      <c r="A351" s="2" t="str">
        <f>IFERROR(__xludf.DUMMYFUNCTION("""COMPUTED_VALUE"""),"1310022924001")</f>
        <v>1310022924001</v>
      </c>
      <c r="B351" s="2" t="str">
        <f>IFERROR(__xludf.DUMMYFUNCTION("""COMPUTED_VALUE"""),"ROMERO MACIAS GEMA FERNANDA")</f>
        <v>ROMERO MACIAS GEMA FERNANDA</v>
      </c>
      <c r="C351" s="2" t="str">
        <f>IFERROR(__xludf.DUMMYFUNCTION("""COMPUTED_VALUE"""),"CONSULTORIO DENTAL GEMA ROMERO")</f>
        <v>CONSULTORIO DENTAL GEMA ROMERO</v>
      </c>
      <c r="D351" s="2" t="str">
        <f>IFERROR(__xludf.DUMMYFUNCTION("""COMPUTED_VALUE"""),"0988018817")</f>
        <v>0988018817</v>
      </c>
    </row>
    <row r="352">
      <c r="A352" s="2" t="str">
        <f>IFERROR(__xludf.DUMMYFUNCTION("""COMPUTED_VALUE"""),"1305261552001")</f>
        <v>1305261552001</v>
      </c>
      <c r="B352" s="2" t="str">
        <f>IFERROR(__xludf.DUMMYFUNCTION("""COMPUTED_VALUE"""),"ROMERO MOLINA STALIN XAVIER")</f>
        <v>ROMERO MOLINA STALIN XAVIER</v>
      </c>
      <c r="C352" s="2" t="str">
        <f>IFERROR(__xludf.DUMMYFUNCTION("""COMPUTED_VALUE"""),"CETAD EL DESAFIO")</f>
        <v>CETAD EL DESAFIO</v>
      </c>
      <c r="D352" s="2" t="str">
        <f>IFERROR(__xludf.DUMMYFUNCTION("""COMPUTED_VALUE"""),"0988241645")</f>
        <v>0988241645</v>
      </c>
    </row>
    <row r="353">
      <c r="A353" s="2" t="str">
        <f>IFERROR(__xludf.DUMMYFUNCTION("""COMPUTED_VALUE"""),"1310001688001")</f>
        <v>1310001688001</v>
      </c>
      <c r="B353" s="2" t="str">
        <f>IFERROR(__xludf.DUMMYFUNCTION("""COMPUTED_VALUE"""),"RUIZ RUIZ MIRIAN LORENA")</f>
        <v>RUIZ RUIZ MIRIAN LORENA</v>
      </c>
      <c r="C353" s="2" t="str">
        <f>IFERROR(__xludf.DUMMYFUNCTION("""COMPUTED_VALUE"""),"RESIDENCIA DEL ADULTO MAYOR ""DULCE COMPAÑIA""")</f>
        <v>RESIDENCIA DEL ADULTO MAYOR "DULCE COMPAÑIA"</v>
      </c>
      <c r="D353" s="2" t="str">
        <f>IFERROR(__xludf.DUMMYFUNCTION("""COMPUTED_VALUE"""),"0993831467")</f>
        <v>0993831467</v>
      </c>
    </row>
    <row r="354">
      <c r="A354" s="2" t="str">
        <f>IFERROR(__xludf.DUMMYFUNCTION("""COMPUTED_VALUE"""),"1309929246001")</f>
        <v>1309929246001</v>
      </c>
      <c r="B354" s="2" t="str">
        <f>IFERROR(__xludf.DUMMYFUNCTION("""COMPUTED_VALUE"""),"SABANDO CARREÑO TATIANA PAOLA")</f>
        <v>SABANDO CARREÑO TATIANA PAOLA</v>
      </c>
      <c r="C354" s="2" t="str">
        <f>IFERROR(__xludf.DUMMYFUNCTION("""COMPUTED_VALUE"""),"MEDIC")</f>
        <v>MEDIC</v>
      </c>
      <c r="D354" s="2" t="str">
        <f>IFERROR(__xludf.DUMMYFUNCTION("""COMPUTED_VALUE"""),"0981687782")</f>
        <v>0981687782</v>
      </c>
    </row>
    <row r="355">
      <c r="A355" s="2" t="str">
        <f>IFERROR(__xludf.DUMMYFUNCTION("""COMPUTED_VALUE"""),"1312030750001")</f>
        <v>1312030750001</v>
      </c>
      <c r="B355" s="2" t="str">
        <f>IFERROR(__xludf.DUMMYFUNCTION("""COMPUTED_VALUE"""),"SABANDO CHAVEZ DIANA CAROLINA")</f>
        <v>SABANDO CHAVEZ DIANA CAROLINA</v>
      </c>
      <c r="C355" s="2" t="str">
        <f>IFERROR(__xludf.DUMMYFUNCTION("""COMPUTED_VALUE"""),"CAROL DENTAL")</f>
        <v>CAROL DENTAL</v>
      </c>
      <c r="D355" s="2" t="str">
        <f>IFERROR(__xludf.DUMMYFUNCTION("""COMPUTED_VALUE"""),"0987632526")</f>
        <v>0987632526</v>
      </c>
    </row>
    <row r="356">
      <c r="A356" s="2" t="str">
        <f>IFERROR(__xludf.DUMMYFUNCTION("""COMPUTED_VALUE"""),"1311105140001")</f>
        <v>1311105140001</v>
      </c>
      <c r="B356" s="2" t="str">
        <f>IFERROR(__xludf.DUMMYFUNCTION("""COMPUTED_VALUE"""),"SABANDO INTRIAGO HELEN JAMILEX")</f>
        <v>SABANDO INTRIAGO HELEN JAMILEX</v>
      </c>
      <c r="C356" s="2" t="str">
        <f>IFERROR(__xludf.DUMMYFUNCTION("""COMPUTED_VALUE"""),"LABORMED")</f>
        <v>LABORMED</v>
      </c>
      <c r="D356" s="2" t="str">
        <f>IFERROR(__xludf.DUMMYFUNCTION("""COMPUTED_VALUE"""),"0960159900")</f>
        <v>0960159900</v>
      </c>
    </row>
    <row r="357">
      <c r="A357" s="2" t="str">
        <f>IFERROR(__xludf.DUMMYFUNCTION("""COMPUTED_VALUE"""),"1310212285001")</f>
        <v>1310212285001</v>
      </c>
      <c r="B357" s="2" t="str">
        <f>IFERROR(__xludf.DUMMYFUNCTION("""COMPUTED_VALUE"""),"SABANDO VELEZ YURI PATRICIO")</f>
        <v>SABANDO VELEZ YURI PATRICIO</v>
      </c>
      <c r="C357" s="2" t="str">
        <f>IFERROR(__xludf.DUMMYFUNCTION("""COMPUTED_VALUE"""),"IMAGENOVA")</f>
        <v>IMAGENOVA</v>
      </c>
      <c r="D357" s="2" t="str">
        <f>IFERROR(__xludf.DUMMYFUNCTION("""COMPUTED_VALUE"""),"0969262177")</f>
        <v>0969262177</v>
      </c>
    </row>
    <row r="358">
      <c r="A358" s="2" t="str">
        <f>IFERROR(__xludf.DUMMYFUNCTION("""COMPUTED_VALUE"""),"1350038798001")</f>
        <v>1350038798001</v>
      </c>
      <c r="B358" s="2" t="str">
        <f>IFERROR(__xludf.DUMMYFUNCTION("""COMPUTED_VALUE"""),"SALDARRIAGA ALCIVAR MARIA FERNANDA")</f>
        <v>SALDARRIAGA ALCIVAR MARIA FERNANDA</v>
      </c>
      <c r="C358" s="2" t="str">
        <f>IFERROR(__xludf.DUMMYFUNCTION("""COMPUTED_VALUE"""),"LABORATORIO CLINICO MAYELAB")</f>
        <v>LABORATORIO CLINICO MAYELAB</v>
      </c>
      <c r="D358" s="2" t="str">
        <f>IFERROR(__xludf.DUMMYFUNCTION("""COMPUTED_VALUE"""),"0996451113")</f>
        <v>0996451113</v>
      </c>
    </row>
    <row r="359">
      <c r="A359" s="2" t="str">
        <f>IFERROR(__xludf.DUMMYFUNCTION("""COMPUTED_VALUE"""),"1304664178001")</f>
        <v>1304664178001</v>
      </c>
      <c r="B359" s="2" t="str">
        <f>IFERROR(__xludf.DUMMYFUNCTION("""COMPUTED_VALUE"""),"SALTOS BRIONES NANCY AMPARO")</f>
        <v>SALTOS BRIONES NANCY AMPARO</v>
      </c>
      <c r="C359" s="2" t="str">
        <f>IFERROR(__xludf.DUMMYFUNCTION("""COMPUTED_VALUE"""),"SERVICIOS DE IMAGENOLOGÍA SAN JUAN BOSCO")</f>
        <v>SERVICIOS DE IMAGENOLOGÍA SAN JUAN BOSCO</v>
      </c>
      <c r="D359" s="2" t="str">
        <f>IFERROR(__xludf.DUMMYFUNCTION("""COMPUTED_VALUE"""),"0995139942")</f>
        <v>0995139942</v>
      </c>
    </row>
    <row r="360">
      <c r="A360" s="2" t="str">
        <f>IFERROR(__xludf.DUMMYFUNCTION("""COMPUTED_VALUE"""),"1313377275001")</f>
        <v>1313377275001</v>
      </c>
      <c r="B360" s="2" t="str">
        <f>IFERROR(__xludf.DUMMYFUNCTION("""COMPUTED_VALUE"""),"SANCHEZ RESTREPO ROBERTH WELLINGTON")</f>
        <v>SANCHEZ RESTREPO ROBERTH WELLINGTON</v>
      </c>
      <c r="C360" s="2" t="str">
        <f>IFERROR(__xludf.DUMMYFUNCTION("""COMPUTED_VALUE"""),"CONSULTORIO MÉDICO MEDLIFE")</f>
        <v>CONSULTORIO MÉDICO MEDLIFE</v>
      </c>
      <c r="D360" s="2" t="str">
        <f>IFERROR(__xludf.DUMMYFUNCTION("""COMPUTED_VALUE"""),"0962870981")</f>
        <v>0962870981</v>
      </c>
    </row>
    <row r="361">
      <c r="A361" s="2" t="str">
        <f>IFERROR(__xludf.DUMMYFUNCTION("""COMPUTED_VALUE"""),"1305056622001")</f>
        <v>1305056622001</v>
      </c>
      <c r="B361" s="2" t="str">
        <f>IFERROR(__xludf.DUMMYFUNCTION("""COMPUTED_VALUE"""),"SANCHEZ VELEZ MARIA ELENA")</f>
        <v>SANCHEZ VELEZ MARIA ELENA</v>
      </c>
      <c r="C361" s="2" t="str">
        <f>IFERROR(__xludf.DUMMYFUNCTION("""COMPUTED_VALUE"""),"LABORATORIO CLÍNICO CEDIN LAB")</f>
        <v>LABORATORIO CLÍNICO CEDIN LAB</v>
      </c>
      <c r="D361" s="2" t="str">
        <f>IFERROR(__xludf.DUMMYFUNCTION("""COMPUTED_VALUE"""),"0987308044")</f>
        <v>0987308044</v>
      </c>
    </row>
    <row r="362">
      <c r="A362" s="2" t="str">
        <f>IFERROR(__xludf.DUMMYFUNCTION("""COMPUTED_VALUE"""),"1309988382001")</f>
        <v>1309988382001</v>
      </c>
      <c r="B362" s="2" t="str">
        <f>IFERROR(__xludf.DUMMYFUNCTION("""COMPUTED_VALUE"""),"SANCLEMENTE VILLAVICENCIO JEAN PAUL")</f>
        <v>SANCLEMENTE VILLAVICENCIO JEAN PAUL</v>
      </c>
      <c r="C362" s="2" t="str">
        <f>IFERROR(__xludf.DUMMYFUNCTION("""COMPUTED_VALUE"""),"QUALITY LABS")</f>
        <v>QUALITY LABS</v>
      </c>
      <c r="D362" s="2" t="str">
        <f>IFERROR(__xludf.DUMMYFUNCTION("""COMPUTED_VALUE"""),"0939480856")</f>
        <v>0939480856</v>
      </c>
    </row>
    <row r="363">
      <c r="A363" s="2" t="str">
        <f>IFERROR(__xludf.DUMMYFUNCTION("""COMPUTED_VALUE"""),"1391876092001")</f>
        <v>1391876092001</v>
      </c>
      <c r="B363" s="2" t="str">
        <f>IFERROR(__xludf.DUMMYFUNCTION("""COMPUTED_VALUE"""),"SANTA MARIANITA AGRUPACION DE ELITE FUNERARIO AGRUPSTAMARIANITA SA")</f>
        <v>SANTA MARIANITA AGRUPACION DE ELITE FUNERARIO AGRUPSTAMARIANITA SA</v>
      </c>
      <c r="C363" s="2" t="str">
        <f>IFERROR(__xludf.DUMMYFUNCTION("""COMPUTED_VALUE"""),"SANTA MARIANITA FUNERARIA")</f>
        <v>SANTA MARIANITA FUNERARIA</v>
      </c>
      <c r="D363" s="2" t="str">
        <f>IFERROR(__xludf.DUMMYFUNCTION("""COMPUTED_VALUE"""),"0997441178")</f>
        <v>0997441178</v>
      </c>
    </row>
    <row r="364">
      <c r="A364" s="2" t="str">
        <f>IFERROR(__xludf.DUMMYFUNCTION("""COMPUTED_VALUE"""),"1303581910001")</f>
        <v>1303581910001</v>
      </c>
      <c r="B364" s="2" t="str">
        <f>IFERROR(__xludf.DUMMYFUNCTION("""COMPUTED_VALUE"""),"SEGOVIA MEDINA ROBINSON ALBERTO")</f>
        <v>SEGOVIA MEDINA ROBINSON ALBERTO</v>
      </c>
      <c r="C364" s="2" t="str">
        <f>IFERROR(__xludf.DUMMYFUNCTION("""COMPUTED_VALUE"""),"CONSULTORIO MÉDICO PODOMEDIC")</f>
        <v>CONSULTORIO MÉDICO PODOMEDIC</v>
      </c>
      <c r="D364" s="2" t="str">
        <f>IFERROR(__xludf.DUMMYFUNCTION("""COMPUTED_VALUE"""),"0994679267")</f>
        <v>0994679267</v>
      </c>
    </row>
    <row r="365">
      <c r="A365" s="2" t="str">
        <f>IFERROR(__xludf.DUMMYFUNCTION("""COMPUTED_VALUE"""),"1391804792001")</f>
        <v>1391804792001</v>
      </c>
      <c r="B365" s="2" t="str">
        <f>IFERROR(__xludf.DUMMYFUNCTION("""COMPUTED_VALUE"""),"SEGURIDAD BERMUDEZ &amp; BERMUDEZ CIA. LTDA.")</f>
        <v>SEGURIDAD BERMUDEZ &amp; BERMUDEZ CIA. LTDA.</v>
      </c>
      <c r="C365" s="2" t="str">
        <f>IFERROR(__xludf.DUMMYFUNCTION("""COMPUTED_VALUE"""),"DEPARTAMENTO MEDICO")</f>
        <v>DEPARTAMENTO MEDICO</v>
      </c>
      <c r="D365" s="2" t="str">
        <f>IFERROR(__xludf.DUMMYFUNCTION("""COMPUTED_VALUE"""),"0939747287")</f>
        <v>0939747287</v>
      </c>
    </row>
    <row r="366">
      <c r="A366" s="2" t="str">
        <f>IFERROR(__xludf.DUMMYFUNCTION("""COMPUTED_VALUE"""),"1768187190001")</f>
        <v>1768187190001</v>
      </c>
      <c r="B366" s="2" t="str">
        <f>IFERROR(__xludf.DUMMYFUNCTION("""COMPUTED_VALUE"""),"SERVICIO NACIONAL DE MEDICINA LEGAL Y CIENCIAS FORENSES")</f>
        <v>SERVICIO NACIONAL DE MEDICINA LEGAL Y CIENCIAS FORENSES</v>
      </c>
      <c r="C366" s="2" t="str">
        <f>IFERROR(__xludf.DUMMYFUNCTION("""COMPUTED_VALUE"""),"SERVICIO NACIONAL DE MEDICINA LEGAL Y CIENCIAS FORENSES PORTOVIEJO")</f>
        <v>SERVICIO NACIONAL DE MEDICINA LEGAL Y CIENCIAS FORENSES PORTOVIEJO</v>
      </c>
      <c r="D366" s="2" t="str">
        <f>IFERROR(__xludf.DUMMYFUNCTION("""COMPUTED_VALUE"""),"0996299869")</f>
        <v>0996299869</v>
      </c>
    </row>
    <row r="367">
      <c r="A367" s="2" t="str">
        <f>IFERROR(__xludf.DUMMYFUNCTION("""COMPUTED_VALUE"""),"1391752709001")</f>
        <v>1391752709001</v>
      </c>
      <c r="B367" s="2" t="str">
        <f>IFERROR(__xludf.DUMMYFUNCTION("""COMPUTED_VALUE"""),"SERVICIOS CLINICOS Y HOSPITALARIOS SERCLYHOS SA EN LIQUIDACION")</f>
        <v>SERVICIOS CLINICOS Y HOSPITALARIOS SERCLYHOS SA EN LIQUIDACION</v>
      </c>
      <c r="C367" s="2" t="str">
        <f>IFERROR(__xludf.DUMMYFUNCTION("""COMPUTED_VALUE"""),"CLINICA SANTA TERESITA")</f>
        <v>CLINICA SANTA TERESITA</v>
      </c>
      <c r="D367" s="2" t="str">
        <f>IFERROR(__xludf.DUMMYFUNCTION("""COMPUTED_VALUE"""),"0995974021")</f>
        <v>0995974021</v>
      </c>
    </row>
    <row r="368">
      <c r="A368" s="2" t="str">
        <f>IFERROR(__xludf.DUMMYFUNCTION("""COMPUTED_VALUE"""),"1791739477001")</f>
        <v>1791739477001</v>
      </c>
      <c r="B368" s="2" t="str">
        <f>IFERROR(__xludf.DUMMYFUNCTION("""COMPUTED_VALUE"""),"SISTEMAS DE SALUD ROCARSYSTEM S.A.")</f>
        <v>SISTEMAS DE SALUD ROCARSYSTEM S.A.</v>
      </c>
      <c r="C368" s="2" t="str">
        <f>IFERROR(__xludf.DUMMYFUNCTION("""COMPUTED_VALUE"""),"ROCARSYSTEM")</f>
        <v>ROCARSYSTEM</v>
      </c>
      <c r="D368" s="2" t="str">
        <f>IFERROR(__xludf.DUMMYFUNCTION("""COMPUTED_VALUE"""),"0985915701")</f>
        <v>0985915701</v>
      </c>
    </row>
    <row r="369">
      <c r="A369" s="2" t="str">
        <f>IFERROR(__xludf.DUMMYFUNCTION("""COMPUTED_VALUE"""),"1313251678001")</f>
        <v>1313251678001</v>
      </c>
      <c r="B369" s="2" t="str">
        <f>IFERROR(__xludf.DUMMYFUNCTION("""COMPUTED_VALUE"""),"SMILE CONSULTORIO ODONTOLOGICO")</f>
        <v>SMILE CONSULTORIO ODONTOLOGICO</v>
      </c>
      <c r="C369" s="2" t="str">
        <f>IFERROR(__xludf.DUMMYFUNCTION("""COMPUTED_VALUE"""),"SMILE CONSULTORIO ODONTOLOGICO")</f>
        <v>SMILE CONSULTORIO ODONTOLOGICO</v>
      </c>
      <c r="D369" s="2" t="str">
        <f>IFERROR(__xludf.DUMMYFUNCTION("""COMPUTED_VALUE"""),"0992758216")</f>
        <v>0992758216</v>
      </c>
    </row>
    <row r="370">
      <c r="A370" s="2" t="str">
        <f>IFERROR(__xludf.DUMMYFUNCTION("""COMPUTED_VALUE"""),"1391934024001")</f>
        <v>1391934024001</v>
      </c>
      <c r="B370" s="2" t="str">
        <f>IFERROR(__xludf.DUMMYFUNCTION("""COMPUTED_VALUE"""),"SOCIEDAD CIVIL DE HECHO NUEVO PORTOMED")</f>
        <v>SOCIEDAD CIVIL DE HECHO NUEVO PORTOMED</v>
      </c>
      <c r="C370" s="2" t="str">
        <f>IFERROR(__xludf.DUMMYFUNCTION("""COMPUTED_VALUE"""),"PORTOMED")</f>
        <v>PORTOMED</v>
      </c>
      <c r="D370" s="2" t="str">
        <f>IFERROR(__xludf.DUMMYFUNCTION("""COMPUTED_VALUE"""),"0998738989")</f>
        <v>0998738989</v>
      </c>
    </row>
    <row r="371">
      <c r="A371" s="2" t="str">
        <f>IFERROR(__xludf.DUMMYFUNCTION("""COMPUTED_VALUE"""),"1391907842001")</f>
        <v>1391907842001</v>
      </c>
      <c r="B371" s="2" t="str">
        <f>IFERROR(__xludf.DUMMYFUNCTION("""COMPUTED_VALUE"""),"SOCIEDAD CIVL MERCANTIL DE HECHO GECINSU")</f>
        <v>SOCIEDAD CIVL MERCANTIL DE HECHO GECINSU</v>
      </c>
      <c r="C371" s="2" t="str">
        <f>IFERROR(__xludf.DUMMYFUNCTION("""COMPUTED_VALUE"""),"CAMPOSANTO ETERNO PARAISO")</f>
        <v>CAMPOSANTO ETERNO PARAISO</v>
      </c>
      <c r="D371" s="2" t="str">
        <f>IFERROR(__xludf.DUMMYFUNCTION("""COMPUTED_VALUE"""),"0963955895")</f>
        <v>0963955895</v>
      </c>
    </row>
    <row r="372">
      <c r="A372" s="2" t="str">
        <f>IFERROR(__xludf.DUMMYFUNCTION("""COMPUTED_VALUE"""),"1391734042001")</f>
        <v>1391734042001</v>
      </c>
      <c r="B372" s="2" t="str">
        <f>IFERROR(__xludf.DUMMYFUNCTION("""COMPUTED_VALUE"""),"SOCIEDAD DE HECHO DENOMINADA SINAI")</f>
        <v>SOCIEDAD DE HECHO DENOMINADA SINAI</v>
      </c>
      <c r="C372" s="2" t="str">
        <f>IFERROR(__xludf.DUMMYFUNCTION("""COMPUTED_VALUE"""),"SINAI")</f>
        <v>SINAI</v>
      </c>
      <c r="D372" s="2" t="str">
        <f>IFERROR(__xludf.DUMMYFUNCTION("""COMPUTED_VALUE"""),"0981242643")</f>
        <v>0981242643</v>
      </c>
    </row>
    <row r="373">
      <c r="A373" s="2" t="str">
        <f>IFERROR(__xludf.DUMMYFUNCTION("""COMPUTED_VALUE"""),"1391719000001")</f>
        <v>1391719000001</v>
      </c>
      <c r="B373" s="2" t="str">
        <f>IFERROR(__xludf.DUMMYFUNCTION("""COMPUTED_VALUE"""),"SOCIEDAD DE LUCHA CONTRA EL CANCER DE MANABI NUCLEO DE PORTOVIEJO")</f>
        <v>SOCIEDAD DE LUCHA CONTRA EL CANCER DE MANABI NUCLEO DE PORTOVIEJO</v>
      </c>
      <c r="C373" s="2" t="str">
        <f>IFERROR(__xludf.DUMMYFUNCTION("""COMPUTED_VALUE"""),"SOLCA MANABI NUCLEO PORTOVIEJO")</f>
        <v>SOLCA MANABI NUCLEO PORTOVIEJO</v>
      </c>
      <c r="D373" s="2" t="str">
        <f>IFERROR(__xludf.DUMMYFUNCTION("""COMPUTED_VALUE"""),"5052580022")</f>
        <v>5052580022</v>
      </c>
    </row>
    <row r="374">
      <c r="A374" s="2" t="str">
        <f>IFERROR(__xludf.DUMMYFUNCTION("""COMPUTED_VALUE"""),"2300306731001")</f>
        <v>2300306731001</v>
      </c>
      <c r="B374" s="2" t="str">
        <f>IFERROR(__xludf.DUMMYFUNCTION("""COMPUTED_VALUE"""),"SOLORZANO LEON WILLIAM ISRAEL")</f>
        <v>SOLORZANO LEON WILLIAM ISRAEL</v>
      </c>
      <c r="C374" s="2" t="str">
        <f>IFERROR(__xludf.DUMMYFUNCTION("""COMPUTED_VALUE"""),"SAIS DENT ")</f>
        <v>SAIS DENT </v>
      </c>
      <c r="D374" s="2" t="str">
        <f>IFERROR(__xludf.DUMMYFUNCTION("""COMPUTED_VALUE"""),"0959824566")</f>
        <v>0959824566</v>
      </c>
    </row>
    <row r="375">
      <c r="A375" s="2" t="str">
        <f>IFERROR(__xludf.DUMMYFUNCTION("""COMPUTED_VALUE"""),"1310816853001")</f>
        <v>1310816853001</v>
      </c>
      <c r="B375" s="2" t="str">
        <f>IFERROR(__xludf.DUMMYFUNCTION("""COMPUTED_VALUE"""),"SOLORZANO RUIZ JAHAIRA MARIA")</f>
        <v>SOLORZANO RUIZ JAHAIRA MARIA</v>
      </c>
      <c r="C375" s="2" t="str">
        <f>IFERROR(__xludf.DUMMYFUNCTION("""COMPUTED_VALUE"""),"CENTRO VETERINARIO MEDICAL PET'S ")</f>
        <v>CENTRO VETERINARIO MEDICAL PET'S </v>
      </c>
      <c r="D375" s="2" t="str">
        <f>IFERROR(__xludf.DUMMYFUNCTION("""COMPUTED_VALUE"""),"0990800448")</f>
        <v>0990800448</v>
      </c>
    </row>
    <row r="376">
      <c r="A376" s="2" t="str">
        <f>IFERROR(__xludf.DUMMYFUNCTION("""COMPUTED_VALUE"""),"1350437875001")</f>
        <v>1350437875001</v>
      </c>
      <c r="B376" s="2" t="str">
        <f>IFERROR(__xludf.DUMMYFUNCTION("""COMPUTED_VALUE"""),"SOLORZANO SEGOVIA MARIA MICHELLE")</f>
        <v>SOLORZANO SEGOVIA MARIA MICHELLE</v>
      </c>
      <c r="C376" s="2" t="str">
        <f>IFERROR(__xludf.DUMMYFUNCTION("""COMPUTED_VALUE"""),"DENTAL PRESTIGE")</f>
        <v>DENTAL PRESTIGE</v>
      </c>
      <c r="D376" s="2" t="str">
        <f>IFERROR(__xludf.DUMMYFUNCTION("""COMPUTED_VALUE"""),"0980615361")</f>
        <v>0980615361</v>
      </c>
    </row>
    <row r="377">
      <c r="A377" s="2" t="str">
        <f>IFERROR(__xludf.DUMMYFUNCTION("""COMPUTED_VALUE"""),"1312227034001")</f>
        <v>1312227034001</v>
      </c>
      <c r="B377" s="2" t="str">
        <f>IFERROR(__xludf.DUMMYFUNCTION("""COMPUTED_VALUE"""),"SORNOZA HIDALGO EDGAR FABRICIO")</f>
        <v>SORNOZA HIDALGO EDGAR FABRICIO</v>
      </c>
      <c r="C377" s="2" t="str">
        <f>IFERROR(__xludf.DUMMYFUNCTION("""COMPUTED_VALUE"""),"DENTAL ESTHETICS")</f>
        <v>DENTAL ESTHETICS</v>
      </c>
      <c r="D377" s="2" t="str">
        <f>IFERROR(__xludf.DUMMYFUNCTION("""COMPUTED_VALUE"""),"0980009576")</f>
        <v>0980009576</v>
      </c>
    </row>
    <row r="378">
      <c r="A378" s="2" t="str">
        <f>IFERROR(__xludf.DUMMYFUNCTION("""COMPUTED_VALUE"""),"0959622226001")</f>
        <v>0959622226001</v>
      </c>
      <c r="B378" s="2" t="str">
        <f>IFERROR(__xludf.DUMMYFUNCTION("""COMPUTED_VALUE"""),"SUAREZ FERNANDEZ JUAN CARLOS")</f>
        <v>SUAREZ FERNANDEZ JUAN CARLOS</v>
      </c>
      <c r="C378" s="2" t="str">
        <f>IFERROR(__xludf.DUMMYFUNCTION("""COMPUTED_VALUE"""),"CENTRO MEDICO CEMEFAG")</f>
        <v>CENTRO MEDICO CEMEFAG</v>
      </c>
      <c r="D378" s="2" t="str">
        <f>IFERROR(__xludf.DUMMYFUNCTION("""COMPUTED_VALUE"""),"0967066230")</f>
        <v>0967066230</v>
      </c>
    </row>
    <row r="379">
      <c r="A379" s="2" t="str">
        <f>IFERROR(__xludf.DUMMYFUNCTION("""COMPUTED_VALUE"""),"1311783300001")</f>
        <v>1311783300001</v>
      </c>
      <c r="B379" s="2" t="str">
        <f>IFERROR(__xludf.DUMMYFUNCTION("""COMPUTED_VALUE"""),"SUAREZ ORELLANA CINTHYA MELISSA")</f>
        <v>SUAREZ ORELLANA CINTHYA MELISSA</v>
      </c>
      <c r="C379" s="2" t="str">
        <f>IFERROR(__xludf.DUMMYFUNCTION("""COMPUTED_VALUE"""),"CENTRO MEDICO DRA CINTHYA SUAREZ")</f>
        <v>CENTRO MEDICO DRA CINTHYA SUAREZ</v>
      </c>
      <c r="D379" s="2" t="str">
        <f>IFERROR(__xludf.DUMMYFUNCTION("""COMPUTED_VALUE"""),"0994350691")</f>
        <v>0994350691</v>
      </c>
    </row>
    <row r="380">
      <c r="A380" s="2" t="str">
        <f>IFERROR(__xludf.DUMMYFUNCTION("""COMPUTED_VALUE"""),"1300235767001")</f>
        <v>1300235767001</v>
      </c>
      <c r="B380" s="2" t="str">
        <f>IFERROR(__xludf.DUMMYFUNCTION("""COMPUTED_VALUE"""),"SUAREZ VERA HORLLY WLADIMIR")</f>
        <v>SUAREZ VERA HORLLY WLADIMIR</v>
      </c>
      <c r="C380" s="2" t="str">
        <f>IFERROR(__xludf.DUMMYFUNCTION("""COMPUTED_VALUE"""),"CENTRO DE TOLERANCIA EL PLATINUM")</f>
        <v>CENTRO DE TOLERANCIA EL PLATINUM</v>
      </c>
      <c r="D380" s="2" t="str">
        <f>IFERROR(__xludf.DUMMYFUNCTION("""COMPUTED_VALUE"""),"0984538441")</f>
        <v>0984538441</v>
      </c>
    </row>
    <row r="381">
      <c r="A381" s="2" t="str">
        <f>IFERROR(__xludf.DUMMYFUNCTION("""COMPUTED_VALUE"""),"1391934890001")</f>
        <v>1391934890001</v>
      </c>
      <c r="B381" s="2" t="str">
        <f>IFERROR(__xludf.DUMMYFUNCTION("""COMPUTED_VALUE"""),"SVELTI S.A.S.")</f>
        <v>SVELTI S.A.S.</v>
      </c>
      <c r="C381" s="2" t="str">
        <f>IFERROR(__xludf.DUMMYFUNCTION("""COMPUTED_VALUE"""),"CONSULTORIO SVELTI")</f>
        <v>CONSULTORIO SVELTI</v>
      </c>
      <c r="D381" s="2" t="str">
        <f>IFERROR(__xludf.DUMMYFUNCTION("""COMPUTED_VALUE"""),"0967130330")</f>
        <v>0967130330</v>
      </c>
    </row>
    <row r="382">
      <c r="A382" s="2" t="str">
        <f>IFERROR(__xludf.DUMMYFUNCTION("""COMPUTED_VALUE"""),"1791854616001")</f>
        <v>1791854616001</v>
      </c>
      <c r="B382" s="2" t="str">
        <f>IFERROR(__xludf.DUMMYFUNCTION("""COMPUTED_VALUE"""),"SYNLAB S.A.S.")</f>
        <v>SYNLAB S.A.S.</v>
      </c>
      <c r="C382" s="2" t="str">
        <f>IFERROR(__xludf.DUMMYFUNCTION("""COMPUTED_VALUE"""),"SYNLAB S.A.S.")</f>
        <v>SYNLAB S.A.S.</v>
      </c>
      <c r="D382" s="2" t="str">
        <f>IFERROR(__xludf.DUMMYFUNCTION("""COMPUTED_VALUE"""),"0991845656")</f>
        <v>0991845656</v>
      </c>
    </row>
    <row r="383">
      <c r="A383" s="2" t="str">
        <f>IFERROR(__xludf.DUMMYFUNCTION("""COMPUTED_VALUE"""),"1313009464001")</f>
        <v>1313009464001</v>
      </c>
      <c r="B383" s="2" t="str">
        <f>IFERROR(__xludf.DUMMYFUNCTION("""COMPUTED_VALUE"""),"TATES VILLAMAR SANDRA JACQUELINE")</f>
        <v>TATES VILLAMAR SANDRA JACQUELINE</v>
      </c>
      <c r="C383" s="2" t="str">
        <f>IFERROR(__xludf.DUMMYFUNCTION("""COMPUTED_VALUE"""),"ROYAL DENTAL CENTER")</f>
        <v>ROYAL DENTAL CENTER</v>
      </c>
      <c r="D383" s="2" t="str">
        <f>IFERROR(__xludf.DUMMYFUNCTION("""COMPUTED_VALUE"""),"0990860935")</f>
        <v>0990860935</v>
      </c>
    </row>
    <row r="384">
      <c r="A384" s="2" t="str">
        <f>IFERROR(__xludf.DUMMYFUNCTION("""COMPUTED_VALUE"""),"1391842392001")</f>
        <v>1391842392001</v>
      </c>
      <c r="B384" s="2" t="str">
        <f>IFERROR(__xludf.DUMMYFUNCTION("""COMPUTED_VALUE"""),"TELEDIAGNOS SERVICIOS MÉDICOS RADIOLÓGICOS S.A.")</f>
        <v>TELEDIAGNOS SERVICIOS MÉDICOS RADIOLÓGICOS S.A.</v>
      </c>
      <c r="C384" s="2" t="str">
        <f>IFERROR(__xludf.DUMMYFUNCTION("""COMPUTED_VALUE"""),"ECOGRAFIA DR JOSE VICENTE GARCÍA")</f>
        <v>ECOGRAFIA DR JOSE VICENTE GARCÍA</v>
      </c>
      <c r="D384" s="2" t="str">
        <f>IFERROR(__xludf.DUMMYFUNCTION("""COMPUTED_VALUE"""),"0996314332")</f>
        <v>0996314332</v>
      </c>
    </row>
    <row r="385">
      <c r="A385" s="2" t="str">
        <f>IFERROR(__xludf.DUMMYFUNCTION("""COMPUTED_VALUE"""),"1312234634001")</f>
        <v>1312234634001</v>
      </c>
      <c r="B385" s="2" t="str">
        <f>IFERROR(__xludf.DUMMYFUNCTION("""COMPUTED_VALUE"""),"TORO MOREIRA KARLA TATIANA")</f>
        <v>TORO MOREIRA KARLA TATIANA</v>
      </c>
      <c r="C385" s="2" t="str">
        <f>IFERROR(__xludf.DUMMYFUNCTION("""COMPUTED_VALUE"""),"TORO ESTUDIO DENTAL")</f>
        <v>TORO ESTUDIO DENTAL</v>
      </c>
      <c r="D385" s="2" t="str">
        <f>IFERROR(__xludf.DUMMYFUNCTION("""COMPUTED_VALUE"""),"0994415745")</f>
        <v>0994415745</v>
      </c>
    </row>
    <row r="386">
      <c r="A386" s="2" t="str">
        <f>IFERROR(__xludf.DUMMYFUNCTION("""COMPUTED_VALUE"""),"0100761683001")</f>
        <v>0100761683001</v>
      </c>
      <c r="B386" s="2" t="str">
        <f>IFERROR(__xludf.DUMMYFUNCTION("""COMPUTED_VALUE"""),"TORRES ESPINOZA EUGENIO CAMILO")</f>
        <v>TORRES ESPINOZA EUGENIO CAMILO</v>
      </c>
      <c r="C386" s="2" t="str">
        <f>IFERROR(__xludf.DUMMYFUNCTION("""COMPUTED_VALUE"""),"CONSULTORIO DR EUGENIO")</f>
        <v>CONSULTORIO DR EUGENIO</v>
      </c>
      <c r="D386" s="2" t="str">
        <f>IFERROR(__xludf.DUMMYFUNCTION("""COMPUTED_VALUE"""),"0999136639")</f>
        <v>0999136639</v>
      </c>
    </row>
    <row r="387">
      <c r="A387" s="2" t="str">
        <f>IFERROR(__xludf.DUMMYFUNCTION("""COMPUTED_VALUE"""),"1315341527001")</f>
        <v>1315341527001</v>
      </c>
      <c r="B387" s="2" t="str">
        <f>IFERROR(__xludf.DUMMYFUNCTION("""COMPUTED_VALUE"""),"TRASDIAL S.A.")</f>
        <v>TRASDIAL S.A.</v>
      </c>
      <c r="C387" s="2" t="str">
        <f>IFERROR(__xludf.DUMMYFUNCTION("""COMPUTED_VALUE"""),"CONSULTORIO ODONTOLÓGICO ROADENT")</f>
        <v>CONSULTORIO ODONTOLÓGICO ROADENT</v>
      </c>
      <c r="D387" s="2" t="str">
        <f>IFERROR(__xludf.DUMMYFUNCTION("""COMPUTED_VALUE"""),"0978785262")</f>
        <v>0978785262</v>
      </c>
    </row>
    <row r="388">
      <c r="A388" s="2" t="str">
        <f>IFERROR(__xludf.DUMMYFUNCTION("""COMPUTED_VALUE"""),"1792150302001")</f>
        <v>1792150302001</v>
      </c>
      <c r="B388" s="2" t="str">
        <f>IFERROR(__xludf.DUMMYFUNCTION("""COMPUTED_VALUE"""),"TRASDIAL S.A.")</f>
        <v>TRASDIAL S.A.</v>
      </c>
      <c r="C388" s="2" t="str">
        <f>IFERROR(__xludf.DUMMYFUNCTION("""COMPUTED_VALUE"""),"TRASDIAL S A")</f>
        <v>TRASDIAL S A</v>
      </c>
      <c r="D388" s="2" t="str">
        <f>IFERROR(__xludf.DUMMYFUNCTION("""COMPUTED_VALUE"""),"0985329378")</f>
        <v>0985329378</v>
      </c>
    </row>
    <row r="389">
      <c r="A389" s="2" t="str">
        <f>IFERROR(__xludf.DUMMYFUNCTION("""COMPUTED_VALUE"""),"1307201762001")</f>
        <v>1307201762001</v>
      </c>
      <c r="B389" s="2" t="str">
        <f>IFERROR(__xludf.DUMMYFUNCTION("""COMPUTED_VALUE"""),"UBILLUS SALTOS LUPITA XIMENA")</f>
        <v>UBILLUS SALTOS LUPITA XIMENA</v>
      </c>
      <c r="C389" s="2" t="str">
        <f>IFERROR(__xludf.DUMMYFUNCTION("""COMPUTED_VALUE"""),"LABORATORIO CLÍNICO SAN LÁZARO")</f>
        <v>LABORATORIO CLÍNICO SAN LÁZARO</v>
      </c>
      <c r="D389" s="2" t="str">
        <f>IFERROR(__xludf.DUMMYFUNCTION("""COMPUTED_VALUE"""),"0983358633")</f>
        <v>0983358633</v>
      </c>
    </row>
    <row r="390">
      <c r="A390" s="2" t="str">
        <f>IFERROR(__xludf.DUMMYFUNCTION("""COMPUTED_VALUE"""),"1391815859001")</f>
        <v>1391815859001</v>
      </c>
      <c r="B390" s="2" t="str">
        <f>IFERROR(__xludf.DUMMYFUNCTION("""COMPUTED_VALUE"""),"UNIDAD DE DIAGNOSTICOS E IMAGENES LOOR S.A. UNIMAGENLOOR")</f>
        <v>UNIDAD DE DIAGNOSTICOS E IMAGENES LOOR S.A. UNIMAGENLOOR</v>
      </c>
      <c r="C390" s="2" t="str">
        <f>IFERROR(__xludf.DUMMYFUNCTION("""COMPUTED_VALUE"""),"UNIMAGEN LOOR")</f>
        <v>UNIMAGEN LOOR</v>
      </c>
      <c r="D390" s="2" t="str">
        <f>IFERROR(__xludf.DUMMYFUNCTION("""COMPUTED_VALUE"""),"0994400566")</f>
        <v>0994400566</v>
      </c>
    </row>
    <row r="391">
      <c r="A391" s="2" t="str">
        <f>IFERROR(__xludf.DUMMYFUNCTION("""COMPUTED_VALUE"""),"1391709811001")</f>
        <v>1391709811001</v>
      </c>
      <c r="B391" s="2" t="str">
        <f>IFERROR(__xludf.DUMMYFUNCTION("""COMPUTED_VALUE"""),"UNIVERSIDAD PARTICULAR SAN GREGORIO DE PORTOVIEJO")</f>
        <v>UNIVERSIDAD PARTICULAR SAN GREGORIO DE PORTOVIEJO</v>
      </c>
      <c r="C391" s="2" t="str">
        <f>IFERROR(__xludf.DUMMYFUNCTION("""COMPUTED_VALUE"""),"UNIVERSIDAD SAN GREGORIO DE PORTOVIEJO")</f>
        <v>UNIVERSIDAD SAN GREGORIO DE PORTOVIEJO</v>
      </c>
      <c r="D391" s="2" t="str">
        <f>IFERROR(__xludf.DUMMYFUNCTION("""COMPUTED_VALUE"""),"0986126791")</f>
        <v>0986126791</v>
      </c>
    </row>
    <row r="392">
      <c r="A392" s="2" t="str">
        <f>IFERROR(__xludf.DUMMYFUNCTION("""COMPUTED_VALUE"""),"1360002090001")</f>
        <v>1360002090001</v>
      </c>
      <c r="B392" s="2" t="str">
        <f>IFERROR(__xludf.DUMMYFUNCTION("""COMPUTED_VALUE"""),"UNIVERSIDAD TECNICA DE MANABI")</f>
        <v>UNIVERSIDAD TECNICA DE MANABI</v>
      </c>
      <c r="C392" s="2" t="str">
        <f>IFERROR(__xludf.DUMMYFUNCTION("""COMPUTED_VALUE"""),"UNIVERSIDAD TÉCNICA DE MANABÍ")</f>
        <v>UNIVERSIDAD TÉCNICA DE MANABÍ</v>
      </c>
      <c r="D392" s="2" t="str">
        <f>IFERROR(__xludf.DUMMYFUNCTION("""COMPUTED_VALUE"""),"0991516057")</f>
        <v>0991516057</v>
      </c>
    </row>
    <row r="393">
      <c r="A393" s="2" t="str">
        <f>IFERROR(__xludf.DUMMYFUNCTION("""COMPUTED_VALUE"""),"1310856719001")</f>
        <v>1310856719001</v>
      </c>
      <c r="B393" s="2" t="str">
        <f>IFERROR(__xludf.DUMMYFUNCTION("""COMPUTED_VALUE"""),"VACA BRAVO ELIANA SOPHIA")</f>
        <v>VACA BRAVO ELIANA SOPHIA</v>
      </c>
      <c r="C393" s="2" t="str">
        <f>IFERROR(__xludf.DUMMYFUNCTION("""COMPUTED_VALUE"""),"CONSULTORIO ODONTOLOGICO ELIANA VACA")</f>
        <v>CONSULTORIO ODONTOLOGICO ELIANA VACA</v>
      </c>
      <c r="D393" s="2" t="str">
        <f>IFERROR(__xludf.DUMMYFUNCTION("""COMPUTED_VALUE"""),"0998779833")</f>
        <v>0998779833</v>
      </c>
    </row>
    <row r="394">
      <c r="A394" s="2" t="str">
        <f>IFERROR(__xludf.DUMMYFUNCTION("""COMPUTED_VALUE"""),"1307431617001")</f>
        <v>1307431617001</v>
      </c>
      <c r="B394" s="2" t="str">
        <f>IFERROR(__xludf.DUMMYFUNCTION("""COMPUTED_VALUE"""),"VALDIVIESO SOLORZANO LUDYS GLORIA")</f>
        <v>VALDIVIESO SOLORZANO LUDYS GLORIA</v>
      </c>
      <c r="C394" s="2" t="str">
        <f>IFERROR(__xludf.DUMMYFUNCTION("""COMPUTED_VALUE"""),"CONSULTORIO MÉDICO PASTEUR")</f>
        <v>CONSULTORIO MÉDICO PASTEUR</v>
      </c>
      <c r="D394" s="2" t="str">
        <f>IFERROR(__xludf.DUMMYFUNCTION("""COMPUTED_VALUE"""),"0988565414")</f>
        <v>0988565414</v>
      </c>
    </row>
    <row r="395">
      <c r="A395" s="2" t="str">
        <f>IFERROR(__xludf.DUMMYFUNCTION("""COMPUTED_VALUE"""),"1310396898001")</f>
        <v>1310396898001</v>
      </c>
      <c r="B395" s="2" t="str">
        <f>IFERROR(__xludf.DUMMYFUNCTION("""COMPUTED_VALUE"""),"VALDIVIESO SORNOZA SILVIA VICENTA")</f>
        <v>VALDIVIESO SORNOZA SILVIA VICENTA</v>
      </c>
      <c r="C395" s="2" t="str">
        <f>IFERROR(__xludf.DUMMYFUNCTION("""COMPUTED_VALUE"""),"CENTRO ODONTOLÓGICO SILVIA VALDIVIESO")</f>
        <v>CENTRO ODONTOLÓGICO SILVIA VALDIVIESO</v>
      </c>
      <c r="D395" s="2" t="str">
        <f>IFERROR(__xludf.DUMMYFUNCTION("""COMPUTED_VALUE"""),"0967855777")</f>
        <v>0967855777</v>
      </c>
    </row>
    <row r="396">
      <c r="A396" s="2" t="str">
        <f>IFERROR(__xludf.DUMMYFUNCTION("""COMPUTED_VALUE"""),"1756321590001")</f>
        <v>1756321590001</v>
      </c>
      <c r="B396" s="2" t="str">
        <f>IFERROR(__xludf.DUMMYFUNCTION("""COMPUTED_VALUE"""),"VALERA VALERO CARLOS ALBERTO")</f>
        <v>VALERA VALERO CARLOS ALBERTO</v>
      </c>
      <c r="C396" s="2" t="str">
        <f>IFERROR(__xludf.DUMMYFUNCTION("""COMPUTED_VALUE"""),"CONSULTORIO CLINICO FINLAY")</f>
        <v>CONSULTORIO CLINICO FINLAY</v>
      </c>
      <c r="D396" s="2" t="str">
        <f>IFERROR(__xludf.DUMMYFUNCTION("""COMPUTED_VALUE"""),"0987522741")</f>
        <v>0987522741</v>
      </c>
    </row>
    <row r="397">
      <c r="A397" s="2" t="str">
        <f>IFERROR(__xludf.DUMMYFUNCTION("""COMPUTED_VALUE"""),"1310752074001")</f>
        <v>1310752074001</v>
      </c>
      <c r="B397" s="2" t="str">
        <f>IFERROR(__xludf.DUMMYFUNCTION("""COMPUTED_VALUE"""),"VARGAS SORNOZA CARLOS NAPOLEON")</f>
        <v>VARGAS SORNOZA CARLOS NAPOLEON</v>
      </c>
      <c r="C397" s="2" t="str">
        <f>IFERROR(__xludf.DUMMYFUNCTION("""COMPUTED_VALUE"""),"CENTRO ODONTOLOGICO CARLOS VARGAS")</f>
        <v>CENTRO ODONTOLOGICO CARLOS VARGAS</v>
      </c>
      <c r="D397" s="2" t="str">
        <f>IFERROR(__xludf.DUMMYFUNCTION("""COMPUTED_VALUE"""),"0979438039")</f>
        <v>0979438039</v>
      </c>
    </row>
    <row r="398">
      <c r="A398" s="2" t="str">
        <f>IFERROR(__xludf.DUMMYFUNCTION("""COMPUTED_VALUE"""),"1312121724001")</f>
        <v>1312121724001</v>
      </c>
      <c r="B398" s="2" t="str">
        <f>IFERROR(__xludf.DUMMYFUNCTION("""COMPUTED_VALUE"""),"VEGA INTRIAGO ALBERTO JOSE")</f>
        <v>VEGA INTRIAGO ALBERTO JOSE</v>
      </c>
      <c r="C398" s="2" t="str">
        <f>IFERROR(__xludf.DUMMYFUNCTION("""COMPUTED_VALUE"""),"CENTRO VETERINARIO")</f>
        <v>CENTRO VETERINARIO</v>
      </c>
      <c r="D398" s="2" t="str">
        <f>IFERROR(__xludf.DUMMYFUNCTION("""COMPUTED_VALUE"""),"0989130511")</f>
        <v>0989130511</v>
      </c>
    </row>
    <row r="399">
      <c r="A399" s="2" t="str">
        <f>IFERROR(__xludf.DUMMYFUNCTION("""COMPUTED_VALUE"""),"1311749152001")</f>
        <v>1311749152001</v>
      </c>
      <c r="B399" s="2" t="str">
        <f>IFERROR(__xludf.DUMMYFUNCTION("""COMPUTED_VALUE"""),"VELASQUEZ BRAVO VANESSA IVONNE")</f>
        <v>VELASQUEZ BRAVO VANESSA IVONNE</v>
      </c>
      <c r="C399" s="2" t="str">
        <f>IFERROR(__xludf.DUMMYFUNCTION("""COMPUTED_VALUE"""),"IVOLAB")</f>
        <v>IVOLAB</v>
      </c>
      <c r="D399" s="2" t="str">
        <f>IFERROR(__xludf.DUMMYFUNCTION("""COMPUTED_VALUE"""),"0963473371")</f>
        <v>0963473371</v>
      </c>
    </row>
    <row r="400">
      <c r="A400" s="2" t="str">
        <f>IFERROR(__xludf.DUMMYFUNCTION("""COMPUTED_VALUE"""),"1304268319001")</f>
        <v>1304268319001</v>
      </c>
      <c r="B400" s="2" t="str">
        <f>IFERROR(__xludf.DUMMYFUNCTION("""COMPUTED_VALUE"""),"VELASQUEZ GINES WLADEMIR NELSON")</f>
        <v>VELASQUEZ GINES WLADEMIR NELSON</v>
      </c>
      <c r="C400" s="2" t="str">
        <f>IFERROR(__xludf.DUMMYFUNCTION("""COMPUTED_VALUE"""),"CENTRO DE TOLERANCIA EL FIERRO")</f>
        <v>CENTRO DE TOLERANCIA EL FIERRO</v>
      </c>
      <c r="D400" s="2" t="str">
        <f>IFERROR(__xludf.DUMMYFUNCTION("""COMPUTED_VALUE"""),"0984729504")</f>
        <v>0984729504</v>
      </c>
    </row>
    <row r="401">
      <c r="A401" s="2" t="str">
        <f>IFERROR(__xludf.DUMMYFUNCTION("""COMPUTED_VALUE"""),"1315757144001")</f>
        <v>1315757144001</v>
      </c>
      <c r="B401" s="2" t="str">
        <f>IFERROR(__xludf.DUMMYFUNCTION("""COMPUTED_VALUE"""),"VELEZ ANDRADE JAENZ STALYN")</f>
        <v>VELEZ ANDRADE JAENZ STALYN</v>
      </c>
      <c r="C401" s="2" t="str">
        <f>IFERROR(__xludf.DUMMYFUNCTION("""COMPUTED_VALUE"""),"STAR DENTAL")</f>
        <v>STAR DENTAL</v>
      </c>
      <c r="D401" s="2" t="str">
        <f>IFERROR(__xludf.DUMMYFUNCTION("""COMPUTED_VALUE"""),"0967458297")</f>
        <v>0967458297</v>
      </c>
    </row>
    <row r="402">
      <c r="A402" s="2" t="str">
        <f>IFERROR(__xludf.DUMMYFUNCTION("""COMPUTED_VALUE"""),"1308310307001")</f>
        <v>1308310307001</v>
      </c>
      <c r="B402" s="2" t="str">
        <f>IFERROR(__xludf.DUMMYFUNCTION("""COMPUTED_VALUE"""),"VELEZ BERMEO VIVIANA VANESSA")</f>
        <v>VELEZ BERMEO VIVIANA VANESSA</v>
      </c>
      <c r="C402" s="2" t="str">
        <f>IFERROR(__xludf.DUMMYFUNCTION("""COMPUTED_VALUE"""),"ODONTOVALLE")</f>
        <v>ODONTOVALLE</v>
      </c>
      <c r="D402" s="2" t="str">
        <f>IFERROR(__xludf.DUMMYFUNCTION("""COMPUTED_VALUE"""),"0969633188")</f>
        <v>0969633188</v>
      </c>
    </row>
    <row r="403">
      <c r="A403" s="2" t="str">
        <f>IFERROR(__xludf.DUMMYFUNCTION("""COMPUTED_VALUE"""),"1310625270001")</f>
        <v>1310625270001</v>
      </c>
      <c r="B403" s="2" t="str">
        <f>IFERROR(__xludf.DUMMYFUNCTION("""COMPUTED_VALUE"""),"VELEZ CARRILLO JOSE GUILLERMO")</f>
        <v>VELEZ CARRILLO JOSE GUILLERMO</v>
      </c>
      <c r="C403" s="2" t="str">
        <f>IFERROR(__xludf.DUMMYFUNCTION("""COMPUTED_VALUE"""),"GV MEDICAL CENTER")</f>
        <v>GV MEDICAL CENTER</v>
      </c>
      <c r="D403" s="2" t="str">
        <f>IFERROR(__xludf.DUMMYFUNCTION("""COMPUTED_VALUE"""),"0996622329")</f>
        <v>0996622329</v>
      </c>
    </row>
    <row r="404">
      <c r="A404" s="2" t="str">
        <f>IFERROR(__xludf.DUMMYFUNCTION("""COMPUTED_VALUE"""),"1301492821001")</f>
        <v>1301492821001</v>
      </c>
      <c r="B404" s="2" t="str">
        <f>IFERROR(__xludf.DUMMYFUNCTION("""COMPUTED_VALUE"""),"VELEZ DE LA CRUZ VICENTE NAZAEL")</f>
        <v>VELEZ DE LA CRUZ VICENTE NAZAEL</v>
      </c>
      <c r="C404" s="2" t="str">
        <f>IFERROR(__xludf.DUMMYFUNCTION("""COMPUTED_VALUE"""),"CONSULTORIO MEDICO VELEZ")</f>
        <v>CONSULTORIO MEDICO VELEZ</v>
      </c>
      <c r="D404" s="2" t="str">
        <f>IFERROR(__xludf.DUMMYFUNCTION("""COMPUTED_VALUE"""),"0981965482")</f>
        <v>0981965482</v>
      </c>
    </row>
    <row r="405">
      <c r="A405" s="2" t="str">
        <f>IFERROR(__xludf.DUMMYFUNCTION("""COMPUTED_VALUE"""),"1307543759001")</f>
        <v>1307543759001</v>
      </c>
      <c r="B405" s="2" t="str">
        <f>IFERROR(__xludf.DUMMYFUNCTION("""COMPUTED_VALUE"""),"VELEZ RIVERA ERWIN JOSE")</f>
        <v>VELEZ RIVERA ERWIN JOSE</v>
      </c>
      <c r="C405" s="2" t="str">
        <f>IFERROR(__xludf.DUMMYFUNCTION("""COMPUTED_VALUE"""),"CENTRO DE TOLERANCIA LAS CHACRAS RIOCHICO")</f>
        <v>CENTRO DE TOLERANCIA LAS CHACRAS RIOCHICO</v>
      </c>
      <c r="D405" s="2" t="str">
        <f>IFERROR(__xludf.DUMMYFUNCTION("""COMPUTED_VALUE"""),"0980882323")</f>
        <v>0980882323</v>
      </c>
    </row>
    <row r="406">
      <c r="A406" s="2" t="str">
        <f>IFERROR(__xludf.DUMMYFUNCTION("""COMPUTED_VALUE"""),"1306536242001")</f>
        <v>1306536242001</v>
      </c>
      <c r="B406" s="2" t="str">
        <f>IFERROR(__xludf.DUMMYFUNCTION("""COMPUTED_VALUE"""),"VELEZ SILVA VICENTA EMPERATRIZ")</f>
        <v>VELEZ SILVA VICENTA EMPERATRIZ</v>
      </c>
      <c r="C406" s="2" t="str">
        <f>IFERROR(__xludf.DUMMYFUNCTION("""COMPUTED_VALUE"""),"TRIZDENTAL")</f>
        <v>TRIZDENTAL</v>
      </c>
      <c r="D406" s="2" t="str">
        <f>IFERROR(__xludf.DUMMYFUNCTION("""COMPUTED_VALUE"""),"0996147197")</f>
        <v>0996147197</v>
      </c>
    </row>
    <row r="407">
      <c r="A407" s="2" t="str">
        <f>IFERROR(__xludf.DUMMYFUNCTION("""COMPUTED_VALUE"""),"1312562950001")</f>
        <v>1312562950001</v>
      </c>
      <c r="B407" s="2" t="str">
        <f>IFERROR(__xludf.DUMMYFUNCTION("""COMPUTED_VALUE"""),"VELEZ SILVA VICENTA NAZAELA")</f>
        <v>VELEZ SILVA VICENTA NAZAELA</v>
      </c>
      <c r="C407" s="2" t="str">
        <f>IFERROR(__xludf.DUMMYFUNCTION("""COMPUTED_VALUE"""),"CONSULTORIO DENTAL DRA NAZAELA VELEZ SILVA")</f>
        <v>CONSULTORIO DENTAL DRA NAZAELA VELEZ SILVA</v>
      </c>
      <c r="D407" s="2" t="str">
        <f>IFERROR(__xludf.DUMMYFUNCTION("""COMPUTED_VALUE"""),"0996665623")</f>
        <v>0996665623</v>
      </c>
    </row>
    <row r="408">
      <c r="A408" s="2" t="str">
        <f>IFERROR(__xludf.DUMMYFUNCTION("""COMPUTED_VALUE"""),"1391936533001")</f>
        <v>1391936533001</v>
      </c>
      <c r="B408" s="2" t="str">
        <f>IFERROR(__xludf.DUMMYFUNCTION("""COMPUTED_VALUE"""),"VELPAL-AM S.A.S. B.I.C.")</f>
        <v>VELPAL-AM S.A.S. B.I.C.</v>
      </c>
      <c r="C408" s="2" t="str">
        <f>IFERROR(__xludf.DUMMYFUNCTION("""COMPUTED_VALUE"""),"AMBULANCIA DE SOPORTE VITAL AVANZADO TERRESTRE")</f>
        <v>AMBULANCIA DE SOPORTE VITAL AVANZADO TERRESTRE</v>
      </c>
      <c r="D408" s="2" t="str">
        <f>IFERROR(__xludf.DUMMYFUNCTION("""COMPUTED_VALUE"""),"0993358585")</f>
        <v>0993358585</v>
      </c>
    </row>
    <row r="409">
      <c r="A409" s="2" t="str">
        <f>IFERROR(__xludf.DUMMYFUNCTION("""COMPUTED_VALUE"""),"1312412065001")</f>
        <v>1312412065001</v>
      </c>
      <c r="B409" s="2" t="str">
        <f>IFERROR(__xludf.DUMMYFUNCTION("""COMPUTED_VALUE"""),"VERA LOOR PAOLA AZUCENA")</f>
        <v>VERA LOOR PAOLA AZUCENA</v>
      </c>
      <c r="C409" s="2" t="str">
        <f>IFERROR(__xludf.DUMMYFUNCTION("""COMPUTED_VALUE"""),"DRA EVELYN CEDEÑO")</f>
        <v>DRA EVELYN CEDEÑO</v>
      </c>
      <c r="D409" s="2" t="str">
        <f>IFERROR(__xludf.DUMMYFUNCTION("""COMPUTED_VALUE"""),"0988016892")</f>
        <v>0988016892</v>
      </c>
    </row>
    <row r="410">
      <c r="A410" s="2" t="str">
        <f>IFERROR(__xludf.DUMMYFUNCTION("""COMPUTED_VALUE"""),"1308543501001")</f>
        <v>1308543501001</v>
      </c>
      <c r="B410" s="2" t="str">
        <f>IFERROR(__xludf.DUMMYFUNCTION("""COMPUTED_VALUE"""),"VERA MOREIRA ALIPIO ARMANDO")</f>
        <v>VERA MOREIRA ALIPIO ARMANDO</v>
      </c>
      <c r="C410" s="2" t="str">
        <f>IFERROR(__xludf.DUMMYFUNCTION("""COMPUTED_VALUE"""),"CONSULTORIO MÉDICO")</f>
        <v>CONSULTORIO MÉDICO</v>
      </c>
      <c r="D410" s="2" t="str">
        <f>IFERROR(__xludf.DUMMYFUNCTION("""COMPUTED_VALUE"""),"0969576886")</f>
        <v>0969576886</v>
      </c>
    </row>
    <row r="411">
      <c r="A411" s="2" t="str">
        <f>IFERROR(__xludf.DUMMYFUNCTION("""COMPUTED_VALUE"""),"1315889095001")</f>
        <v>1315889095001</v>
      </c>
      <c r="B411" s="2" t="str">
        <f>IFERROR(__xludf.DUMMYFUNCTION("""COMPUTED_VALUE"""),"VERA PARRAGA NATHALY BELEN")</f>
        <v>VERA PARRAGA NATHALY BELEN</v>
      </c>
      <c r="C411" s="2" t="str">
        <f>IFERROR(__xludf.DUMMYFUNCTION("""COMPUTED_VALUE"""),"LABORATORIO CLÍNICO VITALIS")</f>
        <v>LABORATORIO CLÍNICO VITALIS</v>
      </c>
      <c r="D411" s="2" t="str">
        <f>IFERROR(__xludf.DUMMYFUNCTION("""COMPUTED_VALUE"""),"0981655544")</f>
        <v>0981655544</v>
      </c>
    </row>
    <row r="412">
      <c r="A412" s="2" t="str">
        <f>IFERROR(__xludf.DUMMYFUNCTION("""COMPUTED_VALUE"""),"1313806927001")</f>
        <v>1313806927001</v>
      </c>
      <c r="B412" s="2" t="str">
        <f>IFERROR(__xludf.DUMMYFUNCTION("""COMPUTED_VALUE"""),"VERA TEJENA GEMA LILIBETH")</f>
        <v>VERA TEJENA GEMA LILIBETH</v>
      </c>
      <c r="C412" s="2" t="str">
        <f>IFERROR(__xludf.DUMMYFUNCTION("""COMPUTED_VALUE"""),"CENTRO VETERINARIO HAUSTIER")</f>
        <v>CENTRO VETERINARIO HAUSTIER</v>
      </c>
      <c r="D412" s="2" t="str">
        <f>IFERROR(__xludf.DUMMYFUNCTION("""COMPUTED_VALUE"""),"0997982866")</f>
        <v>0997982866</v>
      </c>
    </row>
    <row r="413">
      <c r="A413" s="2" t="str">
        <f>IFERROR(__xludf.DUMMYFUNCTION("""COMPUTED_VALUE"""),"1305425355001")</f>
        <v>1305425355001</v>
      </c>
      <c r="B413" s="2" t="str">
        <f>IFERROR(__xludf.DUMMYFUNCTION("""COMPUTED_VALUE"""),"VERA VALDIVIEZO FREYA MARIA")</f>
        <v>VERA VALDIVIEZO FREYA MARIA</v>
      </c>
      <c r="C413" s="2" t="str">
        <f>IFERROR(__xludf.DUMMYFUNCTION("""COMPUTED_VALUE"""),"CENTRO DE ESTETICA DEPILEV")</f>
        <v>CENTRO DE ESTETICA DEPILEV</v>
      </c>
      <c r="D413" s="2" t="str">
        <f>IFERROR(__xludf.DUMMYFUNCTION("""COMPUTED_VALUE"""),"0968665433")</f>
        <v>0968665433</v>
      </c>
    </row>
    <row r="414">
      <c r="A414" s="2" t="str">
        <f>IFERROR(__xludf.DUMMYFUNCTION("""COMPUTED_VALUE"""),"1313760975001")</f>
        <v>1313760975001</v>
      </c>
      <c r="B414" s="2" t="str">
        <f>IFERROR(__xludf.DUMMYFUNCTION("""COMPUTED_VALUE"""),"VERA ZAMBRANO KAREN ROXANA")</f>
        <v>VERA ZAMBRANO KAREN ROXANA</v>
      </c>
      <c r="C414" s="2" t="str">
        <f>IFERROR(__xludf.DUMMYFUNCTION("""COMPUTED_VALUE"""),"CONSULTORIO ODONTOLÓGICO OD KAREN VERA")</f>
        <v>CONSULTORIO ODONTOLÓGICO OD KAREN VERA</v>
      </c>
      <c r="D414" s="2" t="str">
        <f>IFERROR(__xludf.DUMMYFUNCTION("""COMPUTED_VALUE"""),"0989503495")</f>
        <v>0989503495</v>
      </c>
    </row>
    <row r="415">
      <c r="A415" s="2" t="str">
        <f>IFERROR(__xludf.DUMMYFUNCTION("""COMPUTED_VALUE"""),"1312237868001")</f>
        <v>1312237868001</v>
      </c>
      <c r="B415" s="2" t="str">
        <f>IFERROR(__xludf.DUMMYFUNCTION("""COMPUTED_VALUE"""),"VERGARA MENDOZA VIVIANA ANNABEL")</f>
        <v>VERGARA MENDOZA VIVIANA ANNABEL</v>
      </c>
      <c r="C415" s="2" t="str">
        <f>IFERROR(__xludf.DUMMYFUNCTION("""COMPUTED_VALUE"""),"CEMPOR CEMLABS")</f>
        <v>CEMPOR CEMLABS</v>
      </c>
      <c r="D415" s="2" t="str">
        <f>IFERROR(__xludf.DUMMYFUNCTION("""COMPUTED_VALUE"""),"0968470970")</f>
        <v>0968470970</v>
      </c>
    </row>
    <row r="416">
      <c r="A416" s="2" t="str">
        <f>IFERROR(__xludf.DUMMYFUNCTION("""COMPUTED_VALUE"""),"1391931492001")</f>
        <v>1391931492001</v>
      </c>
      <c r="B416" s="2" t="str">
        <f>IFERROR(__xludf.DUMMYFUNCTION("""COMPUTED_VALUE"""),"VESO DERMATOLOGIA INTEGRAL CIA LTDA")</f>
        <v>VESO DERMATOLOGIA INTEGRAL CIA LTDA</v>
      </c>
      <c r="C416" s="2" t="str">
        <f>IFERROR(__xludf.DUMMYFUNCTION("""COMPUTED_VALUE"""),"CONSULTORIO VESO DERMATOLOGIA")</f>
        <v>CONSULTORIO VESO DERMATOLOGIA</v>
      </c>
      <c r="D416" s="2" t="str">
        <f>IFERROR(__xludf.DUMMYFUNCTION("""COMPUTED_VALUE"""),"0996325798")</f>
        <v>0996325798</v>
      </c>
    </row>
    <row r="417">
      <c r="A417" s="2" t="str">
        <f>IFERROR(__xludf.DUMMYFUNCTION("""COMPUTED_VALUE"""),"1309557617001")</f>
        <v>1309557617001</v>
      </c>
      <c r="B417" s="2" t="str">
        <f>IFERROR(__xludf.DUMMYFUNCTION("""COMPUTED_VALUE"""),"VILLACRESES ARTEAGA ANDREA ANGELINA")</f>
        <v>VILLACRESES ARTEAGA ANDREA ANGELINA</v>
      </c>
      <c r="C417" s="2" t="str">
        <f>IFERROR(__xludf.DUMMYFUNCTION("""COMPUTED_VALUE"""),"CONSULTORIO DENTAL ANDREA VILLACRESES")</f>
        <v>CONSULTORIO DENTAL ANDREA VILLACRESES</v>
      </c>
      <c r="D417" s="2" t="str">
        <f>IFERROR(__xludf.DUMMYFUNCTION("""COMPUTED_VALUE"""),"0997638788")</f>
        <v>0997638788</v>
      </c>
    </row>
    <row r="418">
      <c r="A418" s="2" t="str">
        <f>IFERROR(__xludf.DUMMYFUNCTION("""COMPUTED_VALUE"""),"1391931950001")</f>
        <v>1391931950001</v>
      </c>
      <c r="B418" s="2" t="str">
        <f>IFERROR(__xludf.DUMMYFUNCTION("""COMPUTED_VALUE"""),"VILLARENAL S.A.")</f>
        <v>VILLARENAL S.A.</v>
      </c>
      <c r="C418" s="2" t="str">
        <f>IFERROR(__xludf.DUMMYFUNCTION("""COMPUTED_VALUE"""),"VILLARENAL S A")</f>
        <v>VILLARENAL S A</v>
      </c>
      <c r="D418" s="2" t="str">
        <f>IFERROR(__xludf.DUMMYFUNCTION("""COMPUTED_VALUE"""),"0986481645")</f>
        <v>0986481645</v>
      </c>
    </row>
    <row r="419">
      <c r="A419" s="2" t="str">
        <f>IFERROR(__xludf.DUMMYFUNCTION("""COMPUTED_VALUE"""),"1312614595001")</f>
        <v>1312614595001</v>
      </c>
      <c r="B419" s="2" t="str">
        <f>IFERROR(__xludf.DUMMYFUNCTION("""COMPUTED_VALUE"""),"VILLAVICENCIO MONTES BETSY ANDREINA")</f>
        <v>VILLAVICENCIO MONTES BETSY ANDREINA</v>
      </c>
      <c r="C419" s="2" t="str">
        <f>IFERROR(__xludf.DUMMYFUNCTION("""COMPUTED_VALUE"""),"JB EMPRESA DENTAL")</f>
        <v>JB EMPRESA DENTAL</v>
      </c>
      <c r="D419" s="2" t="str">
        <f>IFERROR(__xludf.DUMMYFUNCTION("""COMPUTED_VALUE"""),"0958931372")</f>
        <v>0958931372</v>
      </c>
    </row>
    <row r="420">
      <c r="A420" s="2" t="str">
        <f>IFERROR(__xludf.DUMMYFUNCTION("""COMPUTED_VALUE"""),"1305210286001")</f>
        <v>1305210286001</v>
      </c>
      <c r="B420" s="2" t="str">
        <f>IFERROR(__xludf.DUMMYFUNCTION("""COMPUTED_VALUE"""),"VILLAVICENCIO REYES LETTY JACQUELINE")</f>
        <v>VILLAVICENCIO REYES LETTY JACQUELINE</v>
      </c>
      <c r="C420" s="2" t="str">
        <f>IFERROR(__xludf.DUMMYFUNCTION("""COMPUTED_VALUE"""),"UNIDAD PEDIATRICA DRA LETTY VILLAVICENCIO")</f>
        <v>UNIDAD PEDIATRICA DRA LETTY VILLAVICENCIO</v>
      </c>
      <c r="D420" s="2" t="str">
        <f>IFERROR(__xludf.DUMMYFUNCTION("""COMPUTED_VALUE"""),"0980927876")</f>
        <v>0980927876</v>
      </c>
    </row>
    <row r="421">
      <c r="A421" s="2" t="str">
        <f>IFERROR(__xludf.DUMMYFUNCTION("""COMPUTED_VALUE"""),"1316424223001")</f>
        <v>1316424223001</v>
      </c>
      <c r="B421" s="2" t="str">
        <f>IFERROR(__xludf.DUMMYFUNCTION("""COMPUTED_VALUE"""),"VINCES GARCIA JOHN STEVEN")</f>
        <v>VINCES GARCIA JOHN STEVEN</v>
      </c>
      <c r="C421" s="2" t="str">
        <f>IFERROR(__xludf.DUMMYFUNCTION("""COMPUTED_VALUE"""),"LABORATORIO CLÍNICO PORTOLAB")</f>
        <v>LABORATORIO CLÍNICO PORTOLAB</v>
      </c>
      <c r="D421" s="2" t="str">
        <f>IFERROR(__xludf.DUMMYFUNCTION("""COMPUTED_VALUE"""),"0989013992")</f>
        <v>0989013992</v>
      </c>
    </row>
    <row r="422">
      <c r="A422" s="2" t="str">
        <f>IFERROR(__xludf.DUMMYFUNCTION("""COMPUTED_VALUE"""),"1307498079001")</f>
        <v>1307498079001</v>
      </c>
      <c r="B422" s="2" t="str">
        <f>IFERROR(__xludf.DUMMYFUNCTION("""COMPUTED_VALUE"""),"VINCES GILCES ANGEL YOVANNY")</f>
        <v>VINCES GILCES ANGEL YOVANNY</v>
      </c>
      <c r="C422" s="2" t="str">
        <f>IFERROR(__xludf.DUMMYFUNCTION("""COMPUTED_VALUE"""),"LABORATORIO PATOLÓGICO DR. ÁNGEL VINCES")</f>
        <v>LABORATORIO PATOLÓGICO DR. ÁNGEL VINCES</v>
      </c>
      <c r="D422" s="2" t="str">
        <f>IFERROR(__xludf.DUMMYFUNCTION("""COMPUTED_VALUE"""),"0994039410")</f>
        <v>0994039410</v>
      </c>
    </row>
    <row r="423">
      <c r="A423" s="2" t="str">
        <f>IFERROR(__xludf.DUMMYFUNCTION("""COMPUTED_VALUE"""),"1310060007001")</f>
        <v>1310060007001</v>
      </c>
      <c r="B423" s="2" t="str">
        <f>IFERROR(__xludf.DUMMYFUNCTION("""COMPUTED_VALUE"""),"VITERI ROMERO LUIS ENRIQUE")</f>
        <v>VITERI ROMERO LUIS ENRIQUE</v>
      </c>
      <c r="C423" s="2" t="str">
        <f>IFERROR(__xludf.DUMMYFUNCTION("""COMPUTED_VALUE"""),"TORRE MEDICA SAN ANTONIO CONSULTORIO 205 ")</f>
        <v>TORRE MEDICA SAN ANTONIO CONSULTORIO 205 </v>
      </c>
      <c r="D423" s="2" t="str">
        <f>IFERROR(__xludf.DUMMYFUNCTION("""COMPUTED_VALUE"""),"0983379398")</f>
        <v>0983379398</v>
      </c>
    </row>
    <row r="424">
      <c r="A424" s="2" t="str">
        <f>IFERROR(__xludf.DUMMYFUNCTION("""COMPUTED_VALUE"""),"1715223838001")</f>
        <v>1715223838001</v>
      </c>
      <c r="B424" s="2" t="str">
        <f>IFERROR(__xludf.DUMMYFUNCTION("""COMPUTED_VALUE"""),"VIVANCO PINARGOTE JORGE GEREMIAS")</f>
        <v>VIVANCO PINARGOTE JORGE GEREMIAS</v>
      </c>
      <c r="C424" s="2" t="str">
        <f>IFERROR(__xludf.DUMMYFUNCTION("""COMPUTED_VALUE"""),"VIVANCO PINARGOTE JORGE GEREMIAS")</f>
        <v>VIVANCO PINARGOTE JORGE GEREMIAS</v>
      </c>
      <c r="D424" s="2" t="str">
        <f>IFERROR(__xludf.DUMMYFUNCTION("""COMPUTED_VALUE"""),"0958613644")</f>
        <v>0958613644</v>
      </c>
    </row>
    <row r="425">
      <c r="A425" s="2" t="str">
        <f>IFERROR(__xludf.DUMMYFUNCTION("""COMPUTED_VALUE"""),"1313636589001")</f>
        <v>1313636589001</v>
      </c>
      <c r="B425" s="2" t="str">
        <f>IFERROR(__xludf.DUMMYFUNCTION("""COMPUTED_VALUE"""),"VIVERO MENDOZA WILLIAM ANDRES")</f>
        <v>VIVERO MENDOZA WILLIAM ANDRES</v>
      </c>
      <c r="C425" s="2" t="str">
        <f>IFERROR(__xludf.DUMMYFUNCTION("""COMPUTED_VALUE"""),"OLYMPUS PETS CENTER")</f>
        <v>OLYMPUS PETS CENTER</v>
      </c>
      <c r="D425" s="2" t="str">
        <f>IFERROR(__xludf.DUMMYFUNCTION("""COMPUTED_VALUE"""),"0996630797")</f>
        <v>0996630797</v>
      </c>
    </row>
    <row r="426">
      <c r="A426" s="2" t="str">
        <f>IFERROR(__xludf.DUMMYFUNCTION("""COMPUTED_VALUE"""),"1312063900001")</f>
        <v>1312063900001</v>
      </c>
      <c r="B426" s="2" t="str">
        <f>IFERROR(__xludf.DUMMYFUNCTION("""COMPUTED_VALUE"""),"YANEZ HINOSTROZA JONNY PATRICIO")</f>
        <v>YANEZ HINOSTROZA JONNY PATRICIO</v>
      </c>
      <c r="C426" s="2" t="str">
        <f>IFERROR(__xludf.DUMMYFUNCTION("""COMPUTED_VALUE"""),"DENTAL YANEZ CONSULTORIO ODONTOLÓGICO")</f>
        <v>DENTAL YANEZ CONSULTORIO ODONTOLÓGICO</v>
      </c>
      <c r="D426" s="2" t="str">
        <f>IFERROR(__xludf.DUMMYFUNCTION("""COMPUTED_VALUE"""),"0996108911")</f>
        <v>0996108911</v>
      </c>
    </row>
    <row r="427">
      <c r="A427" s="2" t="str">
        <f>IFERROR(__xludf.DUMMYFUNCTION("""COMPUTED_VALUE"""),"1716707953001")</f>
        <v>1716707953001</v>
      </c>
      <c r="B427" s="2" t="str">
        <f>IFERROR(__xludf.DUMMYFUNCTION("""COMPUTED_VALUE"""),"YANG HUI CHEN")</f>
        <v>YANG HUI CHEN</v>
      </c>
      <c r="C427" s="2" t="str">
        <f>IFERROR(__xludf.DUMMYFUNCTION("""COMPUTED_VALUE"""),"CENTRO ODONTOLÓGICO DRA JENNY YANG")</f>
        <v>CENTRO ODONTOLÓGICO DRA JENNY YANG</v>
      </c>
      <c r="D427" s="2" t="str">
        <f>IFERROR(__xludf.DUMMYFUNCTION("""COMPUTED_VALUE"""),"0992165495")</f>
        <v>0992165495</v>
      </c>
    </row>
    <row r="428">
      <c r="A428" s="2" t="str">
        <f>IFERROR(__xludf.DUMMYFUNCTION("""COMPUTED_VALUE"""),"1313255349001")</f>
        <v>1313255349001</v>
      </c>
      <c r="B428" s="2" t="str">
        <f>IFERROR(__xludf.DUMMYFUNCTION("""COMPUTED_VALUE"""),"YEPEZ SALTOS ANA PRISCILA")</f>
        <v>YEPEZ SALTOS ANA PRISCILA</v>
      </c>
      <c r="C428" s="2" t="str">
        <f>IFERROR(__xludf.DUMMYFUNCTION("""COMPUTED_VALUE"""),"ODONTOSTETIC")</f>
        <v>ODONTOSTETIC</v>
      </c>
      <c r="D428" s="2" t="str">
        <f>IFERROR(__xludf.DUMMYFUNCTION("""COMPUTED_VALUE"""),"0996576160")</f>
        <v>0996576160</v>
      </c>
    </row>
    <row r="429">
      <c r="A429" s="2" t="str">
        <f>IFERROR(__xludf.DUMMYFUNCTION("""COMPUTED_VALUE"""),"1311762676001")</f>
        <v>1311762676001</v>
      </c>
      <c r="B429" s="2" t="str">
        <f>IFERROR(__xludf.DUMMYFUNCTION("""COMPUTED_VALUE"""),"YOZA MERA NORMA KATIUSKA")</f>
        <v>YOZA MERA NORMA KATIUSKA</v>
      </c>
      <c r="C429" s="2" t="str">
        <f>IFERROR(__xludf.DUMMYFUNCTION("""COMPUTED_VALUE"""),"CONSULTORIO MÉDICO")</f>
        <v>CONSULTORIO MÉDICO</v>
      </c>
      <c r="D429" s="2" t="str">
        <f>IFERROR(__xludf.DUMMYFUNCTION("""COMPUTED_VALUE"""),"0992882423")</f>
        <v>0992882423</v>
      </c>
    </row>
    <row r="430">
      <c r="A430" s="2" t="str">
        <f>IFERROR(__xludf.DUMMYFUNCTION("""COMPUTED_VALUE"""),"1312837832001")</f>
        <v>1312837832001</v>
      </c>
      <c r="B430" s="2" t="str">
        <f>IFERROR(__xludf.DUMMYFUNCTION("""COMPUTED_VALUE"""),"ZAMBRANO BENAVIDES ALICIA GISSELA")</f>
        <v>ZAMBRANO BENAVIDES ALICIA GISSELA</v>
      </c>
      <c r="C430" s="2" t="str">
        <f>IFERROR(__xludf.DUMMYFUNCTION("""COMPUTED_VALUE"""),"CENTRO ODONTOLÓGICO UNO DENTAL")</f>
        <v>CENTRO ODONTOLÓGICO UNO DENTAL</v>
      </c>
      <c r="D430" s="2" t="str">
        <f>IFERROR(__xludf.DUMMYFUNCTION("""COMPUTED_VALUE"""),"0981626602")</f>
        <v>0981626602</v>
      </c>
    </row>
    <row r="431">
      <c r="A431" s="2" t="str">
        <f>IFERROR(__xludf.DUMMYFUNCTION("""COMPUTED_VALUE"""),"1312394263001")</f>
        <v>1312394263001</v>
      </c>
      <c r="B431" s="2" t="str">
        <f>IFERROR(__xludf.DUMMYFUNCTION("""COMPUTED_VALUE"""),"ZAMBRANO BURGOS JOSSELYN MERCEDES")</f>
        <v>ZAMBRANO BURGOS JOSSELYN MERCEDES</v>
      </c>
      <c r="C431" s="2" t="str">
        <f>IFERROR(__xludf.DUMMYFUNCTION("""COMPUTED_VALUE"""),"DENTAL CEM")</f>
        <v>DENTAL CEM</v>
      </c>
      <c r="D431" s="2" t="str">
        <f>IFERROR(__xludf.DUMMYFUNCTION("""COMPUTED_VALUE"""),"0963299301")</f>
        <v>0963299301</v>
      </c>
    </row>
    <row r="432">
      <c r="A432" s="2" t="str">
        <f>IFERROR(__xludf.DUMMYFUNCTION("""COMPUTED_VALUE"""),"1313130880001")</f>
        <v>1313130880001</v>
      </c>
      <c r="B432" s="2" t="str">
        <f>IFERROR(__xludf.DUMMYFUNCTION("""COMPUTED_VALUE"""),"ZAMBRANO CEDEÑO MARIA BELEN")</f>
        <v>ZAMBRANO CEDEÑO MARIA BELEN</v>
      </c>
      <c r="C432" s="2" t="str">
        <f>IFERROR(__xludf.DUMMYFUNCTION("""COMPUTED_VALUE"""),"LABORATORIO CLINICO BELAB|")</f>
        <v>LABORATORIO CLINICO BELAB|</v>
      </c>
      <c r="D432" s="2" t="str">
        <f>IFERROR(__xludf.DUMMYFUNCTION("""COMPUTED_VALUE"""),"0990140495")</f>
        <v>0990140495</v>
      </c>
    </row>
    <row r="433">
      <c r="A433" s="2" t="str">
        <f>IFERROR(__xludf.DUMMYFUNCTION("""COMPUTED_VALUE"""),"1310791783001")</f>
        <v>1310791783001</v>
      </c>
      <c r="B433" s="2" t="str">
        <f>IFERROR(__xludf.DUMMYFUNCTION("""COMPUTED_VALUE"""),"ZAMBRANO CHAVEZ MARIA EUGENIA")</f>
        <v>ZAMBRANO CHAVEZ MARIA EUGENIA</v>
      </c>
      <c r="C433" s="2" t="str">
        <f>IFERROR(__xludf.DUMMYFUNCTION("""COMPUTED_VALUE"""),"CONSTRUYENDO SONRISAS")</f>
        <v>CONSTRUYENDO SONRISAS</v>
      </c>
      <c r="D433" s="2" t="str">
        <f>IFERROR(__xludf.DUMMYFUNCTION("""COMPUTED_VALUE"""),"0968251089")</f>
        <v>0968251089</v>
      </c>
    </row>
    <row r="434">
      <c r="A434" s="2" t="str">
        <f>IFERROR(__xludf.DUMMYFUNCTION("""COMPUTED_VALUE"""),"1311331779001")</f>
        <v>1311331779001</v>
      </c>
      <c r="B434" s="2" t="str">
        <f>IFERROR(__xludf.DUMMYFUNCTION("""COMPUTED_VALUE"""),"ZAMBRANO MERA ALEX SIGIFREDO")</f>
        <v>ZAMBRANO MERA ALEX SIGIFREDO</v>
      </c>
      <c r="C434" s="2" t="str">
        <f>IFERROR(__xludf.DUMMYFUNCTION("""COMPUTED_VALUE"""),"SERVIDENTAL")</f>
        <v>SERVIDENTAL</v>
      </c>
      <c r="D434" s="2" t="str">
        <f>IFERROR(__xludf.DUMMYFUNCTION("""COMPUTED_VALUE"""),"0982750165")</f>
        <v>0982750165</v>
      </c>
    </row>
    <row r="435">
      <c r="A435" s="2" t="str">
        <f>IFERROR(__xludf.DUMMYFUNCTION("""COMPUTED_VALUE"""),"1350776116001")</f>
        <v>1350776116001</v>
      </c>
      <c r="B435" s="2" t="str">
        <f>IFERROR(__xludf.DUMMYFUNCTION("""COMPUTED_VALUE"""),"ZAMBRANO PARRAGA ANABELLA INES")</f>
        <v>ZAMBRANO PARRAGA ANABELLA INES</v>
      </c>
      <c r="C435" s="2" t="str">
        <f>IFERROR(__xludf.DUMMYFUNCTION("""COMPUTED_VALUE"""),"CONSULTORIO MEDICO MEDANLU")</f>
        <v>CONSULTORIO MEDICO MEDANLU</v>
      </c>
      <c r="D435" s="2" t="str">
        <f>IFERROR(__xludf.DUMMYFUNCTION("""COMPUTED_VALUE"""),"0982337575")</f>
        <v>0982337575</v>
      </c>
    </row>
    <row r="436">
      <c r="A436" s="2" t="str">
        <f>IFERROR(__xludf.DUMMYFUNCTION("""COMPUTED_VALUE"""),"1315704062001")</f>
        <v>1315704062001</v>
      </c>
      <c r="B436" s="2" t="str">
        <f>IFERROR(__xludf.DUMMYFUNCTION("""COMPUTED_VALUE"""),"ZAMBRANO PINCAY MARIA VICTORIA")</f>
        <v>ZAMBRANO PINCAY MARIA VICTORIA</v>
      </c>
      <c r="C436" s="2" t="str">
        <f>IFERROR(__xludf.DUMMYFUNCTION("""COMPUTED_VALUE"""),"VICTORIA ZAMBRANO ODONTOLOGIA")</f>
        <v>VICTORIA ZAMBRANO ODONTOLOGIA</v>
      </c>
      <c r="D436" s="2" t="str">
        <f>IFERROR(__xludf.DUMMYFUNCTION("""COMPUTED_VALUE"""),"0995588927")</f>
        <v>0995588927</v>
      </c>
    </row>
    <row r="437">
      <c r="A437" s="2" t="str">
        <f>IFERROR(__xludf.DUMMYFUNCTION("""COMPUTED_VALUE"""),"1305201467001")</f>
        <v>1305201467001</v>
      </c>
      <c r="B437" s="2" t="str">
        <f>IFERROR(__xludf.DUMMYFUNCTION("""COMPUTED_VALUE"""),"ZAMBRANO SANTOS ARACELY ANNABELL")</f>
        <v>ZAMBRANO SANTOS ARACELY ANNABELL</v>
      </c>
      <c r="C437" s="2" t="str">
        <f>IFERROR(__xludf.DUMMYFUNCTION("""COMPUTED_VALUE"""),"CONSULTORIO OBSTETRA")</f>
        <v>CONSULTORIO OBSTETRA</v>
      </c>
      <c r="D437" s="2" t="str">
        <f>IFERROR(__xludf.DUMMYFUNCTION("""COMPUTED_VALUE"""),"0987888415")</f>
        <v>0987888415</v>
      </c>
    </row>
    <row r="438">
      <c r="A438" s="2" t="str">
        <f>IFERROR(__xludf.DUMMYFUNCTION("""COMPUTED_VALUE"""),"1104436603001")</f>
        <v>1104436603001</v>
      </c>
      <c r="B438" s="2" t="str">
        <f>IFERROR(__xludf.DUMMYFUNCTION("""COMPUTED_VALUE"""),"ZAMBRANO VEGA CARLOS ALBERTO")</f>
        <v>ZAMBRANO VEGA CARLOS ALBERTO</v>
      </c>
      <c r="C438" s="2" t="str">
        <f>IFERROR(__xludf.DUMMYFUNCTION("""COMPUTED_VALUE"""),"CEODENT")</f>
        <v>CEODENT</v>
      </c>
      <c r="D438" s="2" t="str">
        <f>IFERROR(__xludf.DUMMYFUNCTION("""COMPUTED_VALUE"""),"0997965498")</f>
        <v>0997965498</v>
      </c>
    </row>
    <row r="439">
      <c r="A439" s="2" t="str">
        <f>IFERROR(__xludf.DUMMYFUNCTION("""COMPUTED_VALUE"""),"1303875890001")</f>
        <v>1303875890001</v>
      </c>
      <c r="B439" s="2" t="str">
        <f>IFERROR(__xludf.DUMMYFUNCTION("""COMPUTED_VALUE"""),"ZAMBRANO ZAMBRANO ROBERTH WILLIANS")</f>
        <v>ZAMBRANO ZAMBRANO ROBERTH WILLIANS</v>
      </c>
      <c r="C439" s="2" t="str">
        <f>IFERROR(__xludf.DUMMYFUNCTION("""COMPUTED_VALUE"""),"ZAMBRANO ZAMBRANO ROBERTH WILLIANS")</f>
        <v>ZAMBRANO ZAMBRANO ROBERTH WILLIANS</v>
      </c>
      <c r="D439" s="2" t="str">
        <f>IFERROR(__xludf.DUMMYFUNCTION("""COMPUTED_VALUE"""),"0997950403")</f>
        <v>0997950403</v>
      </c>
    </row>
    <row r="440">
      <c r="A440" s="2" t="str">
        <f>IFERROR(__xludf.DUMMYFUNCTION("""COMPUTED_VALUE"""),"1305125351001")</f>
        <v>1305125351001</v>
      </c>
      <c r="B440" s="2" t="str">
        <f>IFERROR(__xludf.DUMMYFUNCTION("""COMPUTED_VALUE"""),"ZAMBRANO ZAMORA TOMAS CELESTINO")</f>
        <v>ZAMBRANO ZAMORA TOMAS CELESTINO</v>
      </c>
      <c r="C440" s="2" t="str">
        <f>IFERROR(__xludf.DUMMYFUNCTION("""COMPUTED_VALUE"""),"LABORATORIO CLINICO DELTA")</f>
        <v>LABORATORIO CLINICO DELTA</v>
      </c>
      <c r="D440" s="2" t="str">
        <f>IFERROR(__xludf.DUMMYFUNCTION("""COMPUTED_VALUE"""),"0985192508")</f>
        <v>0985192508</v>
      </c>
    </row>
    <row r="441">
      <c r="A441" s="3" t="str">
        <f>IFERROR(__xludf.DUMMYFUNCTION("""COMPUTED_VALUE"""),"1792162297001")</f>
        <v>1792162297001</v>
      </c>
      <c r="B441" s="3" t="str">
        <f>IFERROR(__xludf.DUMMYFUNCTION("""COMPUTED_VALUE"""),"ZURITA &amp; ZURITA LABORATORIOS CIA. LTDA.")</f>
        <v>ZURITA &amp; ZURITA LABORATORIOS CIA. LTDA.</v>
      </c>
      <c r="C441" s="3" t="str">
        <f>IFERROR(__xludf.DUMMYFUNCTION("""COMPUTED_VALUE"""),"ZURITA &amp; ZURITA LABORATORIOS CIA. LTDA.")</f>
        <v>ZURITA &amp; ZURITA LABORATORIOS CIA. LTDA.</v>
      </c>
      <c r="D441" s="3" t="str">
        <f>IFERROR(__xludf.DUMMYFUNCTION("""COMPUTED_VALUE"""),"0980227974")</f>
        <v>0980227974</v>
      </c>
    </row>
  </sheetData>
  <autoFilter ref="$A$1:$D$419"/>
  <drawing r:id="rId1"/>
</worksheet>
</file>